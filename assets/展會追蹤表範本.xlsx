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4fe89a7f0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f5cf36dd440a4492"/>
    <x:sheet xmlns:r="http://schemas.openxmlformats.org/officeDocument/2006/relationships" name="展會追蹤" sheetId="2" r:id="R6c7464da6e744c42"/>
    <x:sheet xmlns:r="http://schemas.openxmlformats.org/officeDocument/2006/relationships" name="區域監控" sheetId="3" r:id="R7a8e3dfcdb294bf7"/>
    <x:sheet xmlns:r="http://schemas.openxmlformats.org/officeDocument/2006/relationships" name="私人教育監控" sheetId="4" r:id="R5326fe04a75841ca"/>
    <x:sheet xmlns:r="http://schemas.openxmlformats.org/officeDocument/2006/relationships" name="提醒設定" sheetId="5" r:id="R139d18a4f2194e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1"/>
      <x:color rgb="FF123B45"/>
      <x:name val="Carlito"/>
    </x:font>
    <x:font>
      <x:b/>
      <x:sz val="16"/>
      <x:color rgb="FF123B45"/>
      <x:name val="Carlito"/>
    </x:font>
    <x:font>
      <x:sz val="11"/>
      <x:color rgb="FF6B4F0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6F78"/>
      </x:patternFill>
    </x:fill>
    <x:fill>
      <x:patternFill patternType="solid">
        <x:fgColor rgb="FF123B45"/>
      </x:patternFill>
    </x:fill>
    <x:fill>
      <x:patternFill patternType="solid">
        <x:fgColor rgb="FFD8EEF0"/>
      </x:patternFill>
    </x:fill>
    <x:fill>
      <x:patternFill patternType="solid">
        <x:fgColor rgb="FFF3FAFA"/>
      </x:patternFill>
    </x:fill>
    <x:fill>
      <x:patternFill patternType="solid">
        <x:fgColor rgb="FFFFF7D6"/>
      </x:patternFill>
    </x:fill>
    <x:fill>
      <x:patternFill patternType="solid">
        <x:fgColor rgb="FFE8F3FA"/>
      </x:patternFill>
    </x:fill>
    <x:fill>
      <x:patternFill patternType="solid">
        <x:fgColor rgb="FFF3ECFA"/>
      </x:patternFill>
    </x:fill>
    <x:fill>
      <x:patternFill patternType="solid">
        <x:fgColor rgb="FFEEF7E8"/>
      </x:patternFill>
    </x:fill>
    <x:fill>
      <x:patternFill patternType="solid">
        <x:fgColor rgb="FFFFF5DF"/>
      </x:patternFill>
    </x:fill>
    <x:fill>
      <x:patternFill patternType="solid">
        <x:fgColor rgb="FFFDECEC"/>
      </x:patternFill>
    </x:fill>
    <x:fill>
      <x:patternFill patternType="solid">
        <x:fgColor rgb="FF714B78"/>
      </x:patternFill>
    </x:fill>
    <x:fill>
      <x:patternFill patternType="solid">
        <x:fgColor rgb="FFF8F2FA"/>
      </x:patternFill>
    </x:fill>
  </x:fills>
  <x:borders count="4">
    <x:border/>
    <x:border>
      <x:left style="thin">
        <x:color rgb="FFDCE4E8"/>
      </x:left>
      <x:right style="thin">
        <x:color rgb="FFDCE4E8"/>
      </x:right>
      <x:top style="thin">
        <x:color rgb="FFDCE4E8"/>
      </x:top>
      <x:bottom style="thin">
        <x:color rgb="FFDCE4E8"/>
      </x:bottom>
    </x:border>
    <x:border>
      <x:left style="thin">
        <x:color rgb="FFA7C9CD"/>
      </x:left>
      <x:right style="thin">
        <x:color rgb="FFA7C9CD"/>
      </x:right>
      <x:top style="thin">
        <x:color rgb="FFA7C9CD"/>
      </x:top>
      <x:bottom style="thin">
        <x:color rgb="FFA7C9CD"/>
      </x:bottom>
    </x:border>
    <x:border>
      <x:left style="thin">
        <x:color rgb="FFDDD3E0"/>
      </x:left>
      <x:right style="thin">
        <x:color rgb="FFDDD3E0"/>
      </x:right>
      <x:top style="thin">
        <x:color rgb="FFDDD3E0"/>
      </x:top>
      <x:bottom style="thin">
        <x:color rgb="FFDDD3E0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1" fillId="12" borderId="3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13" borderId="3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6fe00ef154b0a" /><Relationship Type="http://schemas.openxmlformats.org/officeDocument/2006/relationships/theme" Target="/xl/theme/theme1.xml" Id="Rd3efae252a4042f0" /><Relationship Type="http://schemas.openxmlformats.org/officeDocument/2006/relationships/sharedStrings" Target="/xl/sharedStrings.xml" Id="Rd4750f0fff28406d" /><Relationship Type="http://schemas.openxmlformats.org/officeDocument/2006/relationships/worksheet" Target="/xl/worksheets/sheet1.xml" Id="Rf5cf36dd440a4492" /><Relationship Type="http://schemas.openxmlformats.org/officeDocument/2006/relationships/worksheet" Target="/xl/worksheets/sheet2.xml" Id="R6c7464da6e744c42" /><Relationship Type="http://schemas.openxmlformats.org/officeDocument/2006/relationships/worksheet" Target="/xl/worksheets/sheet3.xml" Id="R7a8e3dfcdb294bf7" /><Relationship Type="http://schemas.openxmlformats.org/officeDocument/2006/relationships/worksheet" Target="/xl/worksheets/sheet4.xml" Id="R5326fe04a75841ca" /><Relationship Type="http://schemas.openxmlformats.org/officeDocument/2006/relationships/worksheet" Target="/xl/worksheets/sheet5.xml" Id="R139d18a4f2194e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7b41072c474d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重點展會往年人潮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往年人潮</c:v>
          </c:tx>
          <c:cat>
            <c:strRef>
              <c:f>'總覽'!$D$5:$D$8</c:f>
              <c:strCache>
                <c:ptCount val="0"/>
              </c:strCache>
            </c:strRef>
          </c:cat>
          <c:val>
            <c:numRef>
              <c:f>'總覽'!$E$5:$E$8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7b41072c474d4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poTracker" displayName="ExpoTracker" ref="A1:W201" headerRowCount="1">
  <x:tableColumns count="23">
    <x:tableColumn id="1" name="活動名稱"/>
    <x:tableColumn id="2" name="活動開始日期"/>
    <x:tableColumn id="3" name="活動結束日期"/>
    <x:tableColumn id="4" name="參展報名開始日"/>
    <x:tableColumn id="5" name="參展報名截止日"/>
    <x:tableColumn id="6" name="地點"/>
    <x:tableColumn id="7" name="面向"/>
    <x:tableColumn id="8" name="往年人潮"/>
    <x:tableColumn id="9" name="人潮年份"/>
    <x:tableColumn id="10" name="官方網站"/>
    <x:tableColumn id="11" name="資訊狀態"/>
    <x:tableColumn id="12" name="距報名截止日"/>
    <x:tableColumn id="13" name="提醒狀態"/>
    <x:tableColumn id="14" name="優先級"/>
    <x:tableColumn id="15" name="備註"/>
    <x:tableColumn id="16" name="最後更新日"/>
    <x:tableColumn id="17" name="前一屆開始日期"/>
    <x:tableColumn id="18" name="前一屆結束日期"/>
    <x:tableColumn id="19" name="前一屆日期來源"/>
    <x:tableColumn id="20" name="建議啟動規劃日"/>
    <x:tableColumn id="21" name="目標年齡"/>
    <x:tableColumn id="22" name="3–12歲適配度"/>
    <x:tableColumn id="23" name="學習領域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2f2991dbbd4f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b8d3f7aec742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5" t="str">
        <x:v>台灣兒童教育展會雷達</x:v>
      </x:c>
      <x:c r="B1" s="15"/>
      <x:c r="C1" s="15"/>
      <x:c r="D1" s="15"/>
      <x:c r="E1" s="15"/>
      <x:c r="F1" s="15"/>
      <x:c r="G1" s="15"/>
      <x:c r="H1" s="15"/>
    </x:row>
    <x:row r="2">
      <x:c r="A2" s="15"/>
      <x:c r="B2" s="15"/>
      <x:c r="C2" s="15"/>
      <x:c r="D2" s="15"/>
      <x:c r="E2" s="15"/>
      <x:c r="F2" s="15"/>
      <x:c r="G2" s="15"/>
      <x:c r="H2" s="15"/>
    </x:row>
    <x:row r="4">
      <x:c r="A4" s="21" t="str">
        <x:v>追蹤展會數</x:v>
      </x:c>
      <x:c r="B4" s="22" t="n">
        <x:f>COUNTIF('展會追蹤'!A2:A201,"&lt;&gt;")</x:f>
        <x:v>14</x:v>
      </x:c>
      <x:c r="D4" s="3" t="str">
        <x:v>展會</x:v>
      </x:c>
      <x:c r="E4" s="3" t="str">
        <x:v>往年人潮</x:v>
      </x:c>
    </x:row>
    <x:row r="5">
      <x:c r="A5" s="21" t="str">
        <x:v>高優先展會</x:v>
      </x:c>
      <x:c r="B5" s="22" t="n">
        <x:f>COUNTIF('展會追蹤'!N2:N201,"高")</x:f>
        <x:v>8</x:v>
      </x:c>
      <x:c r="D5" s="1" t="str">
        <x:v>台北國際書展</x:v>
      </x:c>
      <x:c r="E5" s="25" t="n">
        <x:v>550000</x:v>
      </x:c>
    </x:row>
    <x:row r="6">
      <x:c r="A6" s="21" t="str">
        <x:v>已開放報名</x:v>
      </x:c>
      <x:c r="B6" s="22" t="n">
        <x:f>COUNTIF('展會追蹤'!K2:K201,"已開放報名")</x:f>
        <x:v>1</x:v>
      </x:c>
      <x:c r="D6" s="1" t="str">
        <x:v>臺灣文博會</x:v>
      </x:c>
      <x:c r="E6" s="25" t="n">
        <x:v>650000</x:v>
      </x:c>
    </x:row>
    <x:row r="7">
      <x:c r="A7" s="21" t="str">
        <x:v>30 日內截止</x:v>
      </x:c>
      <x:c r="B7" s="22" t="n">
        <x:f>COUNTIF('展會追蹤'!M2:M201,"30日內截止")+COUNTIF('展會追蹤'!M2:M201,"7日內截止")</x:f>
        <x:v>1</x:v>
      </x:c>
      <x:c r="D7" s="1" t="str">
        <x:v>創新技術博覽會</x:v>
      </x:c>
      <x:c r="E7" s="25" t="n">
        <x:v>50000</x:v>
      </x:c>
    </x:row>
    <x:row r="8">
      <x:c r="D8" s="1" t="str">
        <x:v>台北國際動漫節</x:v>
      </x:c>
      <x:c r="E8" s="25" t="n">
        <x:v>485000</x:v>
      </x:c>
    </x:row>
    <x:row r="9">
      <x:c r="D9" s="1" t="str">
        <x:v>EDit</x:v>
      </x:c>
      <x:c r="E9" s="25"/>
    </x:row>
    <x:row r="10">
      <x:c r="D10" s="1" t="str">
        <x:v>AI EXPO Taiwan</x:v>
      </x:c>
      <x:c r="E10" s="25"/>
    </x:row>
    <x:row r="29">
      <x:c r="A29" s="29" t="str">
        <x:v>使用方式：每週更新一次「官方網站、日期、參展報名截止日」。當提醒狀態出現紅色或黃色時，安排團隊評估與報名。未公告的日期請保留空白，不要填入推測日期。</x:v>
      </x:c>
      <x:c r="B29" s="29"/>
      <x:c r="C29" s="29"/>
      <x:c r="D29" s="29"/>
      <x:c r="E29" s="29"/>
      <x:c r="F29" s="29"/>
      <x:c r="G29" s="29"/>
      <x:c r="H29" s="29"/>
    </x:row>
    <x:row r="30">
      <x:c r="A30" s="29"/>
      <x:c r="B30" s="29"/>
      <x:c r="C30" s="29"/>
      <x:c r="D30" s="29"/>
      <x:c r="E30" s="29"/>
      <x:c r="F30" s="29"/>
      <x:c r="G30" s="29"/>
      <x:c r="H30" s="29"/>
    </x:row>
    <x:row r="31">
      <x:c r="A31" s="29"/>
      <x:c r="B31" s="29"/>
      <x:c r="C31" s="29"/>
      <x:c r="D31" s="29"/>
      <x:c r="E31" s="29"/>
      <x:c r="F31" s="29"/>
      <x:c r="G31" s="29"/>
      <x:c r="H31" s="29"/>
    </x:row>
    <x:row r="32">
      <x:c r="A32" s="29"/>
      <x:c r="B32" s="29"/>
      <x:c r="C32" s="29"/>
      <x:c r="D32" s="29"/>
      <x:c r="E32" s="29"/>
      <x:c r="F32" s="29"/>
      <x:c r="G32" s="29"/>
      <x:c r="H32" s="29"/>
    </x:row>
  </x:sheetData>
  <x:mergeCells>
    <x:mergeCell ref="A1:H2"/>
    <x:mergeCell ref="A29:H32"/>
  </x:mergeCells>
  <x:pageMargins left="0.7" right="0.7" top="0.75" bottom="0.75" header="0.3" footer="0.3"/>
  <x:drawing xmlns:r="http://schemas.openxmlformats.org/officeDocument/2006/relationships" r:id="R7b2f2991dbbd4fd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28" hidden="0" customWidth="1"/>
    <x:col min="7" max="7" width="34" hidden="0" customWidth="1"/>
    <x:col min="8" max="8" width="14" hidden="0" customWidth="1"/>
    <x:col min="9" max="9" width="12" hidden="0" customWidth="1"/>
    <x:col min="10" max="10" width="27" hidden="0" customWidth="1"/>
    <x:col min="11" max="11" width="13" hidden="0" customWidth="1"/>
    <x:col min="12" max="12" width="15" hidden="0" customWidth="1"/>
    <x:col min="13" max="13" width="16" hidden="0" customWidth="1"/>
    <x:col min="14" max="14" width="11" hidden="0" customWidth="1"/>
    <x:col min="15" max="15" width="42" hidden="0" customWidth="1"/>
    <x:col min="16" max="16" width="14" hidden="0" customWidth="1"/>
    <x:col min="17" max="17" width="16" hidden="0" customWidth="1"/>
    <x:col min="18" max="18" width="16" hidden="0" customWidth="1"/>
    <x:col min="19" max="19" width="34" hidden="0" customWidth="1"/>
    <x:col min="20" max="20" width="18" hidden="0" customWidth="1"/>
    <x:col min="21" max="21" width="25" hidden="0" customWidth="1"/>
    <x:col min="22" max="22" width="15" hidden="0" customWidth="1"/>
    <x:col min="23" max="23" width="32" hidden="0" customWidth="1"/>
  </x:cols>
  <x:sheetData>
    <x:row r="1" ht="34" customHeight="1">
      <x:c r="A1" s="6" t="str">
        <x:v>活動名稱</x:v>
      </x:c>
      <x:c r="B1" s="6" t="str">
        <x:v>活動開始日期</x:v>
      </x:c>
      <x:c r="C1" s="6" t="str">
        <x:v>活動結束日期</x:v>
      </x:c>
      <x:c r="D1" s="6" t="str">
        <x:v>參展報名開始日</x:v>
      </x:c>
      <x:c r="E1" s="6" t="str">
        <x:v>參展報名截止日</x:v>
      </x:c>
      <x:c r="F1" s="6" t="str">
        <x:v>地點</x:v>
      </x:c>
      <x:c r="G1" s="6" t="str">
        <x:v>面向</x:v>
      </x:c>
      <x:c r="H1" s="6" t="str">
        <x:v>往年人潮</x:v>
      </x:c>
      <x:c r="I1" s="6" t="str">
        <x:v>人潮年份</x:v>
      </x:c>
      <x:c r="J1" s="6" t="str">
        <x:v>官方網站</x:v>
      </x:c>
      <x:c r="K1" s="6" t="str">
        <x:v>資訊狀態</x:v>
      </x:c>
      <x:c r="L1" s="6" t="str">
        <x:v>距報名截止日</x:v>
      </x:c>
      <x:c r="M1" s="6" t="str">
        <x:v>提醒狀態</x:v>
      </x:c>
      <x:c r="N1" s="6" t="str">
        <x:v>優先級</x:v>
      </x:c>
      <x:c r="O1" s="6" t="str">
        <x:v>備註</x:v>
      </x:c>
      <x:c r="P1" s="6" t="str">
        <x:v>最後更新日</x:v>
      </x:c>
      <x:c r="Q1" s="6" t="str">
        <x:v>前一屆開始日期</x:v>
      </x:c>
      <x:c r="R1" s="6" t="str">
        <x:v>前一屆結束日期</x:v>
      </x:c>
      <x:c r="S1" s="6" t="str">
        <x:v>前一屆日期來源</x:v>
      </x:c>
      <x:c r="T1" s="6" t="str">
        <x:v>建議啟動規劃日</x:v>
      </x:c>
      <x:c r="U1" s="6" t="str">
        <x:v>目標年齡</x:v>
      </x:c>
      <x:c r="V1" s="6" t="str">
        <x:v>3–12歲適配度</x:v>
      </x:c>
      <x:c r="W1" s="6" t="str">
        <x:v>學習領域</x:v>
      </x:c>
    </x:row>
    <x:row r="2" ht="52" customHeight="1">
      <x:c r="A2" s="8" t="str">
        <x:v>2027 台北國際書展</x:v>
      </x:c>
      <x:c r="B2" s="9"/>
      <x:c r="C2" s="9"/>
      <x:c r="D2" s="9"/>
      <x:c r="E2" s="9"/>
      <x:c r="F2" s="8" t="str">
        <x:v>台北世界貿易中心展覽一館（下一屆待確認）</x:v>
      </x:c>
      <x:c r="G2" s="8" t="str">
        <x:v>童書、繪本、出版、親子閱讀、版權合作</x:v>
      </x:c>
      <x:c r="H2" s="10" t="n">
        <x:v>550000</x:v>
      </x:c>
      <x:c r="I2" s="8" t="n">
        <x:v>2024</x:v>
      </x:c>
      <x:c r="J2" s="8" t="str">
        <x:v>https://www.tibe.org.tw/</x:v>
      </x:c>
      <x:c r="K2" s="8" t="str">
        <x:v>待公告</x:v>
      </x:c>
      <x:c r="L2" s="11" t="str">
        <x:f>IF(E2="","",E2-TODAY())</x:f>
      </x:c>
      <x:c r="M2" s="8" t="str">
        <x:f>IF(E2="","待確認截止日",IF(L2&lt;0,"報名已截止",IF(L2&lt;=7,"7日內截止",IF(L2&lt;=30,"30日內截止","持續追蹤"))))</x:f>
        <x:v>待確認截止日</x:v>
      </x:c>
      <x:c r="N2" s="8" t="str">
        <x:v>高</x:v>
      </x:c>
      <x:c r="O2" s="8" t="str">
        <x:v>2026 年展期為 2026-02-03 至 2026-02-08；開始監控下一屆參展徵集。</x:v>
      </x:c>
      <x:c r="P2" s="9" t="n">
        <x:v>46184</x:v>
      </x:c>
      <x:c r="Q2" s="9" t="n">
        <x:v>46056</x:v>
      </x:c>
      <x:c r="R2" s="9" t="n">
        <x:v>46061</x:v>
      </x:c>
      <x:c r="S2" s="8" t="str">
        <x:v>https://www.tibe.org.tw/</x:v>
      </x:c>
      <x:c r="T2" s="9" t="n">
        <x:f>IF(Q2="","",Q2-180)</x:f>
        <x:v>45876</x:v>
      </x:c>
      <x:c r="U2" s="8" t="str">
        <x:v>3–12歲、家長、教師</x:v>
      </x:c>
      <x:c r="V2" s="8" t="str">
        <x:v>高</x:v>
      </x:c>
      <x:c r="W2" s="8" t="str">
        <x:v>閱讀、語文、繪本、文化</x:v>
      </x:c>
    </x:row>
    <x:row r="3" ht="52" customHeight="1">
      <x:c r="A3" s="8" t="str">
        <x:v>2026 資訊月暨臺灣教育科技展</x:v>
      </x:c>
      <x:c r="B3" s="9" t="n">
        <x:v>46338</x:v>
      </x:c>
      <x:c r="C3" s="9" t="n">
        <x:v>46341</x:v>
      </x:c>
      <x:c r="D3" s="9" t="n">
        <x:v>46098</x:v>
      </x:c>
      <x:c r="E3" s="9" t="n">
        <x:v>46206</x:v>
      </x:c>
      <x:c r="F3" s="8" t="str">
        <x:v>台北世貿一館</x:v>
      </x:c>
      <x:c r="G3" s="8" t="str">
        <x:v>教育科技、AI 教育、數位學習、教師、學校、親子共學</x:v>
      </x:c>
      <x:c r="H3" s="10" t="n">
        <x:v>350000</x:v>
      </x:c>
      <x:c r="I3" s="8" t="n">
        <x:v>2025</x:v>
      </x:c>
      <x:c r="J3" s="8" t="str">
        <x:v>https://www.edtech.tw/</x:v>
      </x:c>
      <x:c r="K3" s="8" t="str">
        <x:v>已開放報名</x:v>
      </x:c>
      <x:c r="L3" s="11" t="n">
        <x:f>IF(E3="","",E3-TODAY())</x:f>
        <x:v>22</x:v>
      </x:c>
      <x:c r="M3" s="8" t="str">
        <x:f>IF(E3="","待確認截止日",IF(L3&lt;0,"報名已截止",IF(L3&lt;=7,"7日內截止",IF(L3&lt;=30,"30日內截止","持續追蹤"))))</x:f>
        <x:v>30日內截止</x:v>
      </x:c>
      <x:c r="N3" s="8" t="str">
        <x:v>高</x:v>
      </x:c>
      <x:c r="O3" s="8" t="str">
        <x:v>早鳥報名至 2026-04-17；一般報名至 2026-07-03 23:59。官方公布觀展人數 350,000+。</x:v>
      </x:c>
      <x:c r="P3" s="9" t="n">
        <x:v>46184</x:v>
      </x:c>
      <x:c r="Q3" s="9" t="n">
        <x:v>45974</x:v>
      </x:c>
      <x:c r="R3" s="9" t="n">
        <x:v>45977</x:v>
      </x:c>
      <x:c r="S3" s="8" t="str">
        <x:v>https://www.edtech.tw/</x:v>
      </x:c>
      <x:c r="T3" s="9" t="n">
        <x:f>IF(Q3="","",Q3-180)</x:f>
        <x:v>45794</x:v>
      </x:c>
      <x:c r="U3" s="8" t="str">
        <x:v>3–12歲、家長、教師、學校</x:v>
      </x:c>
      <x:c r="V3" s="8" t="str">
        <x:v>高</x:v>
      </x:c>
      <x:c r="W3" s="8" t="str">
        <x:v>數位學習、AI、STEAM、跨域</x:v>
      </x:c>
    </x:row>
    <x:row r="4" ht="52" customHeight="1">
      <x:c r="A4" s="8" t="str">
        <x:v>2026 台北國際童書展</x:v>
      </x:c>
      <x:c r="B4" s="9" t="n">
        <x:v>46213</x:v>
      </x:c>
      <x:c r="C4" s="9" t="n">
        <x:v>46216</x:v>
      </x:c>
      <x:c r="D4" s="9"/>
      <x:c r="E4" s="9"/>
      <x:c r="F4" s="8" t="str">
        <x:v>台北世貿一館</x:v>
      </x:c>
      <x:c r="G4" s="8" t="str">
        <x:v>童書、繪本、親子閱讀、出版社、家庭消費者</x:v>
      </x:c>
      <x:c r="H4" s="10"/>
      <x:c r="I4" s="8"/>
      <x:c r="J4" s="8" t="str">
        <x:v>https://kidsbooks.kje-event.com.tw/</x:v>
      </x:c>
      <x:c r="K4" s="8" t="str">
        <x:v>待確認</x:v>
      </x:c>
      <x:c r="L4" s="11" t="str">
        <x:f>IF(E4="","",E4-TODAY())</x:f>
      </x:c>
      <x:c r="M4" s="8" t="str">
        <x:f>IF(E4="","待確認截止日",IF(L4&lt;0,"報名已截止",IF(L4&lt;=7,"7日內截止",IF(L4&lt;=30,"30日內截止","持續追蹤"))))</x:f>
        <x:v>待確認截止日</x:v>
      </x:c>
      <x:c r="N4" s="8" t="str">
        <x:v>高</x:v>
      </x:c>
      <x:c r="O4" s="8" t="str">
        <x:v>展期 10:00–18:00。官網未清楚公布參展報名截止日與往年人潮，需聯繫揆眾展覽確認合作或參展方式。</x:v>
      </x:c>
      <x:c r="P4" s="9" t="n">
        <x:v>46184</x:v>
      </x:c>
      <x:c r="Q4" s="9"/>
      <x:c r="R4" s="9"/>
      <x:c r="S4" s="8" t="str">
        <x:v>待查：官網未清楚呈現前一屆日期</x:v>
      </x:c>
      <x:c r="T4" s="9" t="str">
        <x:f>IF(Q4="","",Q4-180)</x:f>
      </x:c>
      <x:c r="U4" s="8" t="str">
        <x:v>3–12歲、家長</x:v>
      </x:c>
      <x:c r="V4" s="8" t="str">
        <x:v>高</x:v>
      </x:c>
      <x:c r="W4" s="8" t="str">
        <x:v>閱讀、語文、繪本、親子共讀</x:v>
      </x:c>
    </x:row>
    <x:row r="5" ht="52" customHeight="1">
      <x:c r="A5" s="8" t="str">
        <x:v>2026 臺北市教育博覽會</x:v>
      </x:c>
      <x:c r="B5" s="9" t="n">
        <x:v>46179</x:v>
      </x:c>
      <x:c r="C5" s="9" t="n">
        <x:v>46181</x:v>
      </x:c>
      <x:c r="D5" s="9"/>
      <x:c r="E5" s="9"/>
      <x:c r="F5" s="8" t="str">
        <x:v>台北世貿一館</x:v>
      </x:c>
      <x:c r="G5" s="8" t="str">
        <x:v>教育成果、共融教育、創新學習、親師生、學校</x:v>
      </x:c>
      <x:c r="H5" s="10"/>
      <x:c r="I5" s="8"/>
      <x:c r="J5" s="8" t="str">
        <x:v>https://www.gov.taipei/News_Content.aspx?n=F0DDAF49B89E9413&amp;s=B3201B9DBA4482F2&amp;sms=72544237BBE4C5F6</x:v>
      </x:c>
      <x:c r="K5" s="8" t="str">
        <x:v>已結束</x:v>
      </x:c>
      <x:c r="L5" s="11" t="str">
        <x:f>IF(E5="","",E5-TODAY())</x:f>
      </x:c>
      <x:c r="M5" s="8" t="str">
        <x:f>IF(E5="","待確認截止日",IF(L5&lt;0,"報名已截止",IF(L5&lt;=7,"7日內截止",IF(L5&lt;=30,"30日內截止","持續追蹤"))))</x:f>
        <x:v>待確認截止日</x:v>
      </x:c>
      <x:c r="N5" s="8" t="str">
        <x:v>高</x:v>
      </x:c>
      <x:c r="O5" s="8" t="str">
        <x:v>臺北市政府教育局主辦，主題為 Taipei on Learning on／學習不設限。需追蹤下一屆與外部品牌合作、贊助或參與方式。</x:v>
      </x:c>
      <x:c r="P5" s="9" t="n">
        <x:v>46184</x:v>
      </x:c>
      <x:c r="Q5" s="9"/>
      <x:c r="R5" s="9"/>
      <x:c r="S5" s="8" t="str">
        <x:v>待查：需查臺北市政府歷年新聞稿與海報</x:v>
      </x:c>
      <x:c r="T5" s="9" t="str">
        <x:f>IF(Q5="","",Q5-180)</x:f>
      </x:c>
      <x:c r="U5" s="8" t="str">
        <x:v>3–12歲、家長、教師、學校</x:v>
      </x:c>
      <x:c r="V5" s="8" t="str">
        <x:v>高</x:v>
      </x:c>
      <x:c r="W5" s="8" t="str">
        <x:v>跨域學習、共融、創新教育</x:v>
      </x:c>
    </x:row>
    <x:row r="6" ht="52" customHeight="1">
      <x:c r="A6" s="8" t="str">
        <x:v>2026 台灣國際教育創新博覽會 EDit</x:v>
      </x:c>
      <x:c r="B6" s="9"/>
      <x:c r="C6" s="9"/>
      <x:c r="D6" s="9"/>
      <x:c r="E6" s="9"/>
      <x:c r="F6" s="8" t="str">
        <x:v>桃園會展中心（待主辦方確認）</x:v>
      </x:c>
      <x:c r="G6" s="8" t="str">
        <x:v>教育科技、創新教學、學校、教師、永續教育</x:v>
      </x:c>
      <x:c r="H6" s="10"/>
      <x:c r="I6" s="8"/>
      <x:c r="J6" s="8" t="str">
        <x:v>https://edittw.com/</x:v>
      </x:c>
      <x:c r="K6" s="8" t="str">
        <x:v>待公告</x:v>
      </x:c>
      <x:c r="L6" s="11" t="str">
        <x:f>IF(E6="","",E6-TODAY())</x:f>
      </x:c>
      <x:c r="M6" s="8" t="str">
        <x:f>IF(E6="","待確認截止日",IF(L6&lt;0,"報名已截止",IF(L6&lt;=7,"7日內截止",IF(L6&lt;=30,"30日內截止","持續追蹤"))))</x:f>
        <x:v>待確認截止日</x:v>
      </x:c>
      <x:c r="N6" s="8" t="str">
        <x:v>高</x:v>
      </x:c>
      <x:c r="O6" s="8" t="str">
        <x:v>2025 年首次舉辦；適合教育產品展示、教師合作與學校通路。</x:v>
      </x:c>
      <x:c r="P6" s="9" t="n">
        <x:v>46184</x:v>
      </x:c>
      <x:c r="Q6" s="9" t="n">
        <x:v>45953</x:v>
      </x:c>
      <x:c r="R6" s="9"/>
      <x:c r="S6" s="8" t="str">
        <x:v>https://edittw.com/</x:v>
      </x:c>
      <x:c r="T6" s="9" t="n">
        <x:f>IF(Q6="","",Q6-180)</x:f>
        <x:v>45773</x:v>
      </x:c>
      <x:c r="U6" s="8" t="str">
        <x:v>3–12歲、家長、教師、教育機構</x:v>
      </x:c>
      <x:c r="V6" s="8" t="str">
        <x:v>高</x:v>
      </x:c>
      <x:c r="W6" s="8" t="str">
        <x:v>教育創新、STEAM、永續、跨域</x:v>
      </x:c>
    </x:row>
    <x:row r="7" ht="52" customHeight="1">
      <x:c r="A7" s="8" t="str">
        <x:v>2026 臺灣文博會</x:v>
      </x:c>
      <x:c r="B7" s="9"/>
      <x:c r="C7" s="9"/>
      <x:c r="D7" s="9"/>
      <x:c r="E7" s="9"/>
      <x:c r="F7" s="8" t="str">
        <x:v>待公告</x:v>
      </x:c>
      <x:c r="G7" s="8" t="str">
        <x:v>文化內容、兒童 IP、品牌授權、文創商品</x:v>
      </x:c>
      <x:c r="H7" s="10" t="n">
        <x:v>650000</x:v>
      </x:c>
      <x:c r="I7" s="8" t="n">
        <x:v>2025</x:v>
      </x:c>
      <x:c r="J7" s="8" t="str">
        <x:v>https://creativexpo.tw/</x:v>
      </x:c>
      <x:c r="K7" s="8" t="str">
        <x:v>待公告</x:v>
      </x:c>
      <x:c r="L7" s="11" t="str">
        <x:f>IF(E7="","",E7-TODAY())</x:f>
      </x:c>
      <x:c r="M7" s="8" t="str">
        <x:f>IF(E7="","待確認截止日",IF(L7&lt;0,"報名已截止",IF(L7&lt;=7,"7日內截止",IF(L7&lt;=30,"30日內截止","持續追蹤"))))</x:f>
        <x:v>待確認截止日</x:v>
      </x:c>
      <x:c r="N7" s="8" t="str">
        <x:v>高</x:v>
      </x:c>
      <x:c r="O7" s="8" t="str">
        <x:v>適合具角色、故事、出版或授權延伸能力的兒童教育品牌。</x:v>
      </x:c>
      <x:c r="P7" s="9" t="n">
        <x:v>46184</x:v>
      </x:c>
      <x:c r="Q7" s="9" t="n">
        <x:v>45871</x:v>
      </x:c>
      <x:c r="R7" s="9" t="n">
        <x:v>45880</x:v>
      </x:c>
      <x:c r="S7" s="8" t="str">
        <x:v>https://creativexpo.tw/</x:v>
      </x:c>
      <x:c r="T7" s="9" t="n">
        <x:f>IF(Q7="","",Q7-180)</x:f>
        <x:v>45691</x:v>
      </x:c>
      <x:c r="U7" s="8" t="str">
        <x:v>3–12歲、家長、內容合作夥伴</x:v>
      </x:c>
      <x:c r="V7" s="8" t="str">
        <x:v>中</x:v>
      </x:c>
      <x:c r="W7" s="8" t="str">
        <x:v>文化、故事、藝術、創意</x:v>
      </x:c>
    </x:row>
    <x:row r="8" ht="52" customHeight="1">
      <x:c r="A8" s="8" t="str">
        <x:v>2026 台灣創新技術博覽會</x:v>
      </x:c>
      <x:c r="B8" s="9"/>
      <x:c r="C8" s="9"/>
      <x:c r="D8" s="9"/>
      <x:c r="E8" s="9"/>
      <x:c r="F8" s="8" t="str">
        <x:v>台北世界貿易中心（待確認）</x:v>
      </x:c>
      <x:c r="G8" s="8" t="str">
        <x:v>創新科技、STEAM、研發成果、產學合作</x:v>
      </x:c>
      <x:c r="H8" s="10" t="n">
        <x:v>50000</x:v>
      </x:c>
      <x:c r="I8" s="8" t="n">
        <x:v>2025</x:v>
      </x:c>
      <x:c r="J8" s="8" t="str">
        <x:v>https://www.inventaipei.com.tw/</x:v>
      </x:c>
      <x:c r="K8" s="8" t="str">
        <x:v>待公告</x:v>
      </x:c>
      <x:c r="L8" s="11" t="str">
        <x:f>IF(E8="","",E8-TODAY())</x:f>
      </x:c>
      <x:c r="M8" s="8" t="str">
        <x:f>IF(E8="","待確認截止日",IF(L8&lt;0,"報名已截止",IF(L8&lt;=7,"7日內截止",IF(L8&lt;=30,"30日內截止","持續追蹤"))))</x:f>
        <x:v>待確認截止日</x:v>
      </x:c>
      <x:c r="N8" s="8" t="str">
        <x:v>中</x:v>
      </x:c>
      <x:c r="O8" s="8" t="str">
        <x:v>若產品有 STEAM、AI、教具或專利技術，可評估參展。</x:v>
      </x:c>
      <x:c r="P8" s="9" t="n">
        <x:v>46184</x:v>
      </x:c>
      <x:c r="Q8" s="9" t="n">
        <x:v>45946</x:v>
      </x:c>
      <x:c r="R8" s="9" t="n">
        <x:v>45948</x:v>
      </x:c>
      <x:c r="S8" s="8" t="str">
        <x:v>https://www.inventaipei.com.tw/</x:v>
      </x:c>
      <x:c r="T8" s="9" t="n">
        <x:f>IF(Q8="","",Q8-180)</x:f>
        <x:v>45766</x:v>
      </x:c>
      <x:c r="U8" s="8" t="str">
        <x:v>6–12歲、教師、教育合作夥伴</x:v>
      </x:c>
      <x:c r="V8" s="8" t="str">
        <x:v>中</x:v>
      </x:c>
      <x:c r="W8" s="8" t="str">
        <x:v>STEAM、科學、創客、發明</x:v>
      </x:c>
    </x:row>
    <x:row r="9">
      <x:c r="A9" s="8" t="str">
        <x:v>2027 AI EXPO Taiwan</x:v>
      </x:c>
      <x:c r="B9" s="9"/>
      <x:c r="C9" s="9"/>
      <x:c r="D9" s="9"/>
      <x:c r="E9" s="9"/>
      <x:c r="F9" s="8" t="str">
        <x:v>台北花博爭艷館（待確認）</x:v>
      </x:c>
      <x:c r="G9" s="8" t="str">
        <x:v>AI、教育科技、企業合作、數位學習</x:v>
      </x:c>
      <x:c r="H9" s="10"/>
      <x:c r="I9" s="8"/>
      <x:c r="J9" s="8" t="str">
        <x:v>https://ai-expo.tw/</x:v>
      </x:c>
      <x:c r="K9" s="8" t="str">
        <x:v>待公告</x:v>
      </x:c>
      <x:c r="L9" s="11" t="str">
        <x:f>IF(E9="","",E9-TODAY())</x:f>
      </x:c>
      <x:c r="M9" s="8" t="str">
        <x:f>IF(E9="","待確認截止日",IF(L9&lt;0,"報名已截止",IF(L9&lt;=7,"7日內截止",IF(L9&lt;=30,"30日內截止","持續追蹤"))))</x:f>
        <x:v>待確認截止日</x:v>
      </x:c>
      <x:c r="N9" s="8" t="str">
        <x:v>中</x:v>
      </x:c>
      <x:c r="O9" s="8" t="str">
        <x:v>2026 年展期為 2026-03-25 至 2026-03-27；適合 AI 教育產品與 B2B 合作。</x:v>
      </x:c>
      <x:c r="P9" s="9" t="n">
        <x:v>46184</x:v>
      </x:c>
      <x:c r="Q9" s="9" t="n">
        <x:v>46106</x:v>
      </x:c>
      <x:c r="R9" s="9" t="n">
        <x:v>46108</x:v>
      </x:c>
      <x:c r="S9" s="8" t="str">
        <x:v>https://ai-expo.tw/</x:v>
      </x:c>
      <x:c r="T9" s="9" t="n">
        <x:f>IF(Q9="","",Q9-180)</x:f>
        <x:v>45926</x:v>
      </x:c>
      <x:c r="U9" s="8" t="str">
        <x:v>6–12歲、教師、教育合作夥伴</x:v>
      </x:c>
      <x:c r="V9" s="8" t="str">
        <x:v>中</x:v>
      </x:c>
      <x:c r="W9" s="8" t="str">
        <x:v>AI、數位素養、程式設計</x:v>
      </x:c>
    </x:row>
    <x:row r="10">
      <x:c r="A10" s="8" t="str">
        <x:v>2027 台北國際動漫節</x:v>
      </x:c>
      <x:c r="B10" s="9"/>
      <x:c r="C10" s="9"/>
      <x:c r="D10" s="9"/>
      <x:c r="E10" s="9"/>
      <x:c r="F10" s="8" t="str">
        <x:v>台北南港展覽館（待確認）</x:v>
      </x:c>
      <x:c r="G10" s="8" t="str">
        <x:v>兒童與青少年內容、出版、角色 IP、消費者市場</x:v>
      </x:c>
      <x:c r="H10" s="10" t="n">
        <x:v>485000</x:v>
      </x:c>
      <x:c r="I10" s="8" t="n">
        <x:v>2025</x:v>
      </x:c>
      <x:c r="J10" s="8" t="str">
        <x:v>https://www.ccpa.org.tw/</x:v>
      </x:c>
      <x:c r="K10" s="8" t="str">
        <x:v>待公告</x:v>
      </x:c>
      <x:c r="L10" s="11" t="str">
        <x:f>IF(E10="","",E10-TODAY())</x:f>
      </x:c>
      <x:c r="M10" s="8" t="str">
        <x:f>IF(E10="","待確認截止日",IF(L10&lt;0,"報名已截止",IF(L10&lt;=7,"7日內截止",IF(L10&lt;=30,"30日內截止","持續追蹤"))))</x:f>
        <x:v>待確認截止日</x:v>
      </x:c>
      <x:c r="N10" s="8" t="str">
        <x:v>中</x:v>
      </x:c>
      <x:c r="O10" s="8" t="str">
        <x:v>偏動漫與青少年市場；若產品有角色或內容 IP，可列入評估。</x:v>
      </x:c>
      <x:c r="P10" s="9" t="n">
        <x:v>46184</x:v>
      </x:c>
      <x:c r="Q10" s="9" t="n">
        <x:v>46058</x:v>
      </x:c>
      <x:c r="R10" s="9" t="n">
        <x:v>46062</x:v>
      </x:c>
      <x:c r="S10" s="8" t="str">
        <x:v>https://www.ccpa.org.tw/</x:v>
      </x:c>
      <x:c r="T10" s="9" t="n">
        <x:f>IF(Q10="","",Q10-180)</x:f>
        <x:v>45878</x:v>
      </x:c>
      <x:c r="U10" s="8" t="str">
        <x:v>6–12歲、青少年、家長</x:v>
      </x:c>
      <x:c r="V10" s="8" t="str">
        <x:v>中</x:v>
      </x:c>
      <x:c r="W10" s="8" t="str">
        <x:v>故事、視覺、創作、文化</x:v>
      </x:c>
    </x:row>
    <x:row r="11">
      <x:c r="A11" s="8" t="str">
        <x:v>2026 臺灣科學節</x:v>
      </x:c>
      <x:c r="B11" s="9"/>
      <x:c r="C11" s="9"/>
      <x:c r="D11" s="9"/>
      <x:c r="E11" s="9"/>
      <x:c r="F11" s="8" t="str">
        <x:v>全台科學場館與合作單位（待公告）</x:v>
      </x:c>
      <x:c r="G11" s="8" t="str">
        <x:v>3–12歲科學、STEAM、創客、親子體驗</x:v>
      </x:c>
      <x:c r="H11" s="10"/>
      <x:c r="I11" s="8"/>
      <x:c r="J11" s="8" t="str">
        <x:v>https://www.ntsec.gov.tw/</x:v>
      </x:c>
      <x:c r="K11" s="8" t="str">
        <x:v>待公告</x:v>
      </x:c>
      <x:c r="L11" s="11" t="str">
        <x:f>IF(E11="","",E11-TODAY())</x:f>
      </x:c>
      <x:c r="M11" s="8" t="str">
        <x:f>IF(E11="","待確認截止日",IF(L11&lt;0,"報名已截止",IF(L11&lt;=7,"7日內截止",IF(L11&lt;=30,"30日內截止","持續追蹤"))))</x:f>
        <x:v>待確認截止日</x:v>
      </x:c>
      <x:c r="N11" s="8" t="str">
        <x:v>高</x:v>
      </x:c>
      <x:c r="O11" s="8" t="str">
        <x:v>年度活動通常於 11 月舉辦；較適合工作坊、策展、贊助或合作攤位，需主動洽詢主辦方。</x:v>
      </x:c>
      <x:c r="P11" s="9" t="n">
        <x:v>46184</x:v>
      </x:c>
      <x:c r="Q11" s="9"/>
      <x:c r="R11" s="9"/>
      <x:c r="S11" s="8" t="str">
        <x:v>待查：監控科教館及合作場館公告</x:v>
      </x:c>
      <x:c r="T11" s="9" t="str">
        <x:f>IF(Q11="","",Q11-180)</x:f>
      </x:c>
      <x:c r="U11" s="8" t="str">
        <x:v>3–12歲、家長、教師、學校</x:v>
      </x:c>
      <x:c r="V11" s="8" t="str">
        <x:v>高</x:v>
      </x:c>
      <x:c r="W11" s="8" t="str">
        <x:v>科學、STEAM、創客、探究</x:v>
      </x:c>
    </x:row>
    <x:row r="12">
      <x:c r="A12" s="8" t="str">
        <x:v>2026 臺灣閱讀節</x:v>
      </x:c>
      <x:c r="B12" s="9"/>
      <x:c r="C12" s="9"/>
      <x:c r="D12" s="9"/>
      <x:c r="E12" s="9"/>
      <x:c r="F12" s="8" t="str">
        <x:v>待公告</x:v>
      </x:c>
      <x:c r="G12" s="8" t="str">
        <x:v>3–12歲閱讀、繪本、語文、親子共讀</x:v>
      </x:c>
      <x:c r="H12" s="10"/>
      <x:c r="I12" s="8"/>
      <x:c r="J12" s="8" t="str">
        <x:v>https://www.ncl.edu.tw/</x:v>
      </x:c>
      <x:c r="K12" s="8" t="str">
        <x:v>待公告</x:v>
      </x:c>
      <x:c r="L12" s="11" t="str">
        <x:f>IF(E12="","",E12-TODAY())</x:f>
      </x:c>
      <x:c r="M12" s="8" t="str">
        <x:f>IF(E12="","待確認截止日",IF(L12&lt;0,"報名已截止",IF(L12&lt;=7,"7日內截止",IF(L12&lt;=30,"30日內截止","持續追蹤"))))</x:f>
        <x:v>待確認截止日</x:v>
      </x:c>
      <x:c r="N12" s="8" t="str">
        <x:v>高</x:v>
      </x:c>
      <x:c r="O12" s="8" t="str">
        <x:v>年度活動通常於 12 月舉辦；適合閱讀活動、內容合作、工作坊或合作攤位。</x:v>
      </x:c>
      <x:c r="P12" s="9" t="n">
        <x:v>46184</x:v>
      </x:c>
      <x:c r="Q12" s="9"/>
      <x:c r="R12" s="9"/>
      <x:c r="S12" s="8" t="str">
        <x:v>待查：監控國家圖書館公告</x:v>
      </x:c>
      <x:c r="T12" s="9" t="str">
        <x:f>IF(Q12="","",Q12-180)</x:f>
      </x:c>
      <x:c r="U12" s="8" t="str">
        <x:v>3–12歲、家長、教師</x:v>
      </x:c>
      <x:c r="V12" s="8" t="str">
        <x:v>高</x:v>
      </x:c>
      <x:c r="W12" s="8" t="str">
        <x:v>閱讀、語文、繪本、親子共讀</x:v>
      </x:c>
    </x:row>
    <x:row r="13">
      <x:c r="A13" s="8" t="str">
        <x:v>2026 台灣設計展</x:v>
      </x:c>
      <x:c r="B13" s="9"/>
      <x:c r="C13" s="9"/>
      <x:c r="D13" s="9"/>
      <x:c r="E13" s="9"/>
      <x:c r="F13" s="8" t="str">
        <x:v>輪值縣市，待公告</x:v>
      </x:c>
      <x:c r="G13" s="8" t="str">
        <x:v>兒童設計教育、創意、藝術、跨域體驗</x:v>
      </x:c>
      <x:c r="H13" s="10"/>
      <x:c r="I13" s="8"/>
      <x:c r="J13" s="8" t="str">
        <x:v>https://designexpo.org.tw/</x:v>
      </x:c>
      <x:c r="K13" s="8" t="str">
        <x:v>待公告</x:v>
      </x:c>
      <x:c r="L13" s="11" t="str">
        <x:f>IF(E13="","",E13-TODAY())</x:f>
      </x:c>
      <x:c r="M13" s="8" t="str">
        <x:f>IF(E13="","待確認截止日",IF(L13&lt;0,"報名已截止",IF(L13&lt;=7,"7日內截止",IF(L13&lt;=30,"30日內截止","持續追蹤"))))</x:f>
        <x:v>待確認截止日</x:v>
      </x:c>
      <x:c r="N13" s="8" t="str">
        <x:v>中</x:v>
      </x:c>
      <x:c r="O13" s="8" t="str">
        <x:v>通常於秋季舉辦；適合以策展、兒童體驗或跨域內容合作方式參與。</x:v>
      </x:c>
      <x:c r="P13" s="9" t="n">
        <x:v>46184</x:v>
      </x:c>
      <x:c r="Q13" s="9"/>
      <x:c r="R13" s="9"/>
      <x:c r="S13" s="8" t="str">
        <x:v>待查：監控台灣設計研究院與輪值縣市</x:v>
      </x:c>
      <x:c r="T13" s="9" t="str">
        <x:f>IF(Q13="","",Q13-180)</x:f>
      </x:c>
      <x:c r="U13" s="8" t="str">
        <x:v>3–12歲、家長、內容合作夥伴</x:v>
      </x:c>
      <x:c r="V13" s="8" t="str">
        <x:v>中</x:v>
      </x:c>
      <x:c r="W13" s="8" t="str">
        <x:v>設計、藝術、創意、跨域</x:v>
      </x:c>
    </x:row>
    <x:row r="14">
      <x:c r="A14" s="8" t="str">
        <x:v>2026 台北國際旅展</x:v>
      </x:c>
      <x:c r="B14" s="9"/>
      <x:c r="C14" s="9"/>
      <x:c r="D14" s="9"/>
      <x:c r="E14" s="9"/>
      <x:c r="F14" s="8" t="str">
        <x:v>台北南港展覽館（待確認）</x:v>
      </x:c>
      <x:c r="G14" s="8" t="str">
        <x:v>教育旅行、戶外學習、營隊、親子旅遊</x:v>
      </x:c>
      <x:c r="H14" s="10" t="n">
        <x:v>365302</x:v>
      </x:c>
      <x:c r="I14" s="8" t="n">
        <x:v>2025</x:v>
      </x:c>
      <x:c r="J14" s="8" t="str">
        <x:v>https://www.taipeiitf.org.tw/</x:v>
      </x:c>
      <x:c r="K14" s="8" t="str">
        <x:v>待公告</x:v>
      </x:c>
      <x:c r="L14" s="11" t="str">
        <x:f>IF(E14="","",E14-TODAY())</x:f>
      </x:c>
      <x:c r="M14" s="8" t="str">
        <x:f>IF(E14="","待確認截止日",IF(L14&lt;0,"報名已截止",IF(L14&lt;=7,"7日內截止",IF(L14&lt;=30,"30日內截止","持續追蹤"))))</x:f>
        <x:v>待確認截止日</x:v>
      </x:c>
      <x:c r="N14" s="8" t="str">
        <x:v>低</x:v>
      </x:c>
      <x:c r="O14" s="8" t="str">
        <x:v>僅適合具戶外學習、營隊、遊學或教育旅行產品；2025 展期為 11/07–11/10。</x:v>
      </x:c>
      <x:c r="P14" s="9" t="n">
        <x:v>46184</x:v>
      </x:c>
      <x:c r="Q14" s="9" t="n">
        <x:v>45968</x:v>
      </x:c>
      <x:c r="R14" s="9" t="n">
        <x:v>45971</x:v>
      </x:c>
      <x:c r="S14" s="8" t="str">
        <x:v>https://www.taipeiitf.org.tw/</x:v>
      </x:c>
      <x:c r="T14" s="9" t="n">
        <x:f>IF(Q14="","",Q14-180)</x:f>
        <x:v>45788</x:v>
      </x:c>
      <x:c r="U14" s="8" t="str">
        <x:v>3–12歲家庭</x:v>
      </x:c>
      <x:c r="V14" s="8" t="str">
        <x:v>低</x:v>
      </x:c>
      <x:c r="W14" s="8" t="str">
        <x:v>戶外學習、營隊、教育旅行</x:v>
      </x:c>
    </x:row>
    <x:row r="15">
      <x:c r="A15" s="8" t="str">
        <x:v>自行新增展會</x:v>
      </x:c>
      <x:c r="B15" s="9"/>
      <x:c r="C15" s="9"/>
      <x:c r="D15" s="9"/>
      <x:c r="E15" s="9"/>
      <x:c r="F15" s="8" t="str"/>
      <x:c r="G15" s="8" t="str"/>
      <x:c r="H15" s="10"/>
      <x:c r="I15" s="8"/>
      <x:c r="J15" s="8" t="str"/>
      <x:c r="K15" s="8" t="str">
        <x:v>待確認</x:v>
      </x:c>
      <x:c r="L15" s="11" t="str">
        <x:f>IF(E15="","",E15-TODAY())</x:f>
      </x:c>
      <x:c r="M15" s="8" t="str">
        <x:f>IF(E15="","待確認截止日",IF(L15&lt;0,"報名已截止",IF(L15&lt;=7,"7日內截止",IF(L15&lt;=30,"30日內截止","持續追蹤"))))</x:f>
        <x:v>待確認截止日</x:v>
      </x:c>
      <x:c r="N15" s="8" t="str">
        <x:v>中</x:v>
      </x:c>
      <x:c r="O15" s="8" t="str"/>
      <x:c r="P15" s="9"/>
      <x:c r="Q15" s="9"/>
      <x:c r="R15" s="9"/>
      <x:c r="S15" s="8" t="str"/>
      <x:c r="T15" s="9" t="str">
        <x:f>IF(Q15="","",Q15-180)</x:f>
      </x:c>
      <x:c r="U15" s="8" t="str"/>
      <x:c r="V15" s="8" t="str"/>
      <x:c r="W15" s="8" t="str"/>
    </x:row>
    <x:row r="16">
      <x:c r="A16" s="8"/>
      <x:c r="B16" s="9"/>
      <x:c r="C16" s="9"/>
      <x:c r="D16" s="9"/>
      <x:c r="E16" s="9"/>
      <x:c r="F16" s="8"/>
      <x:c r="G16" s="8"/>
      <x:c r="H16" s="10"/>
      <x:c r="I16" s="8"/>
      <x:c r="J16" s="8"/>
      <x:c r="K16" s="8"/>
      <x:c r="L16" s="11" t="str">
        <x:f>IF(E16="","",E16-TODAY())</x:f>
      </x:c>
      <x:c r="M16" s="8" t="str">
        <x:f>IF(E16="","待確認截止日",IF(L16&lt;0,"報名已截止",IF(L16&lt;=7,"7日內截止",IF(L16&lt;=30,"30日內截止","持續追蹤"))))</x:f>
        <x:v>待確認截止日</x:v>
      </x:c>
      <x:c r="N16" s="8"/>
      <x:c r="O16" s="8"/>
      <x:c r="P16" s="9"/>
      <x:c r="Q16" s="9"/>
      <x:c r="R16" s="9"/>
      <x:c r="S16" s="8"/>
      <x:c r="T16" s="9" t="str">
        <x:f>IF(Q16="","",Q16-180)</x:f>
      </x:c>
      <x:c r="U16" s="8"/>
      <x:c r="V16" s="8"/>
      <x:c r="W16" s="8"/>
    </x:row>
    <x:row r="17">
      <x:c r="A17" s="8"/>
      <x:c r="B17" s="9"/>
      <x:c r="C17" s="9"/>
      <x:c r="D17" s="9"/>
      <x:c r="E17" s="9"/>
      <x:c r="F17" s="8"/>
      <x:c r="G17" s="8"/>
      <x:c r="H17" s="10"/>
      <x:c r="I17" s="8"/>
      <x:c r="J17" s="8"/>
      <x:c r="K17" s="8"/>
      <x:c r="L17" s="11" t="str">
        <x:f>IF(E17="","",E17-TODAY())</x:f>
      </x:c>
      <x:c r="M17" s="8" t="str">
        <x:f>IF(E17="","待確認截止日",IF(L17&lt;0,"報名已截止",IF(L17&lt;=7,"7日內截止",IF(L17&lt;=30,"30日內截止","持續追蹤"))))</x:f>
        <x:v>待確認截止日</x:v>
      </x:c>
      <x:c r="N17" s="8"/>
      <x:c r="O17" s="8"/>
      <x:c r="P17" s="9"/>
      <x:c r="Q17" s="9"/>
      <x:c r="R17" s="9"/>
      <x:c r="S17" s="8"/>
      <x:c r="T17" s="9" t="str">
        <x:f>IF(Q17="","",Q17-180)</x:f>
      </x:c>
      <x:c r="U17" s="8"/>
      <x:c r="V17" s="8"/>
      <x:c r="W17" s="8"/>
    </x:row>
    <x:row r="18">
      <x:c r="A18" s="8"/>
      <x:c r="B18" s="9"/>
      <x:c r="C18" s="9"/>
      <x:c r="D18" s="9"/>
      <x:c r="E18" s="9"/>
      <x:c r="F18" s="8"/>
      <x:c r="G18" s="8"/>
      <x:c r="H18" s="10"/>
      <x:c r="I18" s="8"/>
      <x:c r="J18" s="8"/>
      <x:c r="K18" s="8"/>
      <x:c r="L18" s="11" t="str">
        <x:f>IF(E18="","",E18-TODAY())</x:f>
      </x:c>
      <x:c r="M18" s="8" t="str">
        <x:f>IF(E18="","待確認截止日",IF(L18&lt;0,"報名已截止",IF(L18&lt;=7,"7日內截止",IF(L18&lt;=30,"30日內截止","持續追蹤"))))</x:f>
        <x:v>待確認截止日</x:v>
      </x:c>
      <x:c r="N18" s="8"/>
      <x:c r="O18" s="8"/>
      <x:c r="P18" s="9"/>
      <x:c r="Q18" s="9"/>
      <x:c r="R18" s="9"/>
      <x:c r="S18" s="8"/>
      <x:c r="T18" s="9" t="str">
        <x:f>IF(Q18="","",Q18-180)</x:f>
      </x:c>
      <x:c r="U18" s="8"/>
      <x:c r="V18" s="8"/>
      <x:c r="W18" s="8"/>
    </x:row>
    <x:row r="19">
      <x:c r="A19" s="8"/>
      <x:c r="B19" s="9"/>
      <x:c r="C19" s="9"/>
      <x:c r="D19" s="9"/>
      <x:c r="E19" s="9"/>
      <x:c r="F19" s="8"/>
      <x:c r="G19" s="8"/>
      <x:c r="H19" s="10"/>
      <x:c r="I19" s="8"/>
      <x:c r="J19" s="8"/>
      <x:c r="K19" s="8"/>
      <x:c r="L19" s="11" t="str">
        <x:f>IF(E19="","",E19-TODAY())</x:f>
      </x:c>
      <x:c r="M19" s="8" t="str">
        <x:f>IF(E19="","待確認截止日",IF(L19&lt;0,"報名已截止",IF(L19&lt;=7,"7日內截止",IF(L19&lt;=30,"30日內截止","持續追蹤"))))</x:f>
        <x:v>待確認截止日</x:v>
      </x:c>
      <x:c r="N19" s="8"/>
      <x:c r="O19" s="8"/>
      <x:c r="P19" s="9"/>
      <x:c r="Q19" s="9"/>
      <x:c r="R19" s="9"/>
      <x:c r="S19" s="8"/>
      <x:c r="T19" s="9" t="str">
        <x:f>IF(Q19="","",Q19-180)</x:f>
      </x:c>
      <x:c r="U19" s="8"/>
      <x:c r="V19" s="8"/>
      <x:c r="W19" s="8"/>
    </x:row>
    <x:row r="20">
      <x:c r="A20" s="8"/>
      <x:c r="B20" s="9"/>
      <x:c r="C20" s="9"/>
      <x:c r="D20" s="9"/>
      <x:c r="E20" s="9"/>
      <x:c r="F20" s="8"/>
      <x:c r="G20" s="8"/>
      <x:c r="H20" s="10"/>
      <x:c r="I20" s="8"/>
      <x:c r="J20" s="8"/>
      <x:c r="K20" s="8"/>
      <x:c r="L20" s="11" t="str">
        <x:f>IF(E20="","",E20-TODAY())</x:f>
      </x:c>
      <x:c r="M20" s="8" t="str">
        <x:f>IF(E20="","待確認截止日",IF(L20&lt;0,"報名已截止",IF(L20&lt;=7,"7日內截止",IF(L20&lt;=30,"30日內截止","持續追蹤"))))</x:f>
        <x:v>待確認截止日</x:v>
      </x:c>
      <x:c r="N20" s="8"/>
      <x:c r="O20" s="8"/>
      <x:c r="P20" s="9"/>
      <x:c r="Q20" s="9"/>
      <x:c r="R20" s="9"/>
      <x:c r="S20" s="8"/>
      <x:c r="T20" s="9" t="str">
        <x:f>IF(Q20="","",Q20-180)</x:f>
      </x:c>
      <x:c r="U20" s="8"/>
      <x:c r="V20" s="8"/>
      <x:c r="W20" s="8"/>
    </x:row>
    <x:row r="21">
      <x:c r="A21" s="8"/>
      <x:c r="B21" s="9"/>
      <x:c r="C21" s="9"/>
      <x:c r="D21" s="9"/>
      <x:c r="E21" s="9"/>
      <x:c r="F21" s="8"/>
      <x:c r="G21" s="8"/>
      <x:c r="H21" s="10"/>
      <x:c r="I21" s="8"/>
      <x:c r="J21" s="8"/>
      <x:c r="K21" s="8"/>
      <x:c r="L21" s="11" t="str">
        <x:f>IF(E21="","",E21-TODAY())</x:f>
      </x:c>
      <x:c r="M21" s="8" t="str">
        <x:f>IF(E21="","待確認截止日",IF(L21&lt;0,"報名已截止",IF(L21&lt;=7,"7日內截止",IF(L21&lt;=30,"30日內截止","持續追蹤"))))</x:f>
        <x:v>待確認截止日</x:v>
      </x:c>
      <x:c r="N21" s="8"/>
      <x:c r="O21" s="8"/>
      <x:c r="P21" s="9"/>
      <x:c r="Q21" s="9"/>
      <x:c r="R21" s="9"/>
      <x:c r="S21" s="8"/>
      <x:c r="T21" s="9" t="str">
        <x:f>IF(Q21="","",Q21-180)</x:f>
      </x:c>
      <x:c r="U21" s="8"/>
      <x:c r="V21" s="8"/>
      <x:c r="W21" s="8"/>
    </x:row>
    <x:row r="22">
      <x:c r="A22" s="8"/>
      <x:c r="B22" s="9"/>
      <x:c r="C22" s="9"/>
      <x:c r="D22" s="9"/>
      <x:c r="E22" s="9"/>
      <x:c r="F22" s="8"/>
      <x:c r="G22" s="8"/>
      <x:c r="H22" s="10"/>
      <x:c r="I22" s="8"/>
      <x:c r="J22" s="8"/>
      <x:c r="K22" s="8"/>
      <x:c r="L22" s="11" t="str">
        <x:f>IF(E22="","",E22-TODAY())</x:f>
      </x:c>
      <x:c r="M22" s="8" t="str">
        <x:f>IF(E22="","待確認截止日",IF(L22&lt;0,"報名已截止",IF(L22&lt;=7,"7日內截止",IF(L22&lt;=30,"30日內截止","持續追蹤"))))</x:f>
        <x:v>待確認截止日</x:v>
      </x:c>
      <x:c r="N22" s="8"/>
      <x:c r="O22" s="8"/>
      <x:c r="P22" s="9"/>
      <x:c r="Q22" s="9"/>
      <x:c r="R22" s="9"/>
      <x:c r="S22" s="8"/>
      <x:c r="T22" s="9" t="str">
        <x:f>IF(Q22="","",Q22-180)</x:f>
      </x:c>
      <x:c r="U22" s="8"/>
      <x:c r="V22" s="8"/>
      <x:c r="W22" s="8"/>
    </x:row>
    <x:row r="23">
      <x:c r="A23" s="8"/>
      <x:c r="B23" s="9"/>
      <x:c r="C23" s="9"/>
      <x:c r="D23" s="9"/>
      <x:c r="E23" s="9"/>
      <x:c r="F23" s="8"/>
      <x:c r="G23" s="8"/>
      <x:c r="H23" s="10"/>
      <x:c r="I23" s="8"/>
      <x:c r="J23" s="8"/>
      <x:c r="K23" s="8"/>
      <x:c r="L23" s="11" t="str">
        <x:f>IF(E23="","",E23-TODAY())</x:f>
      </x:c>
      <x:c r="M23" s="8" t="str">
        <x:f>IF(E23="","待確認截止日",IF(L23&lt;0,"報名已截止",IF(L23&lt;=7,"7日內截止",IF(L23&lt;=30,"30日內截止","持續追蹤"))))</x:f>
        <x:v>待確認截止日</x:v>
      </x:c>
      <x:c r="N23" s="8"/>
      <x:c r="O23" s="8"/>
      <x:c r="P23" s="9"/>
      <x:c r="Q23" s="9"/>
      <x:c r="R23" s="9"/>
      <x:c r="S23" s="8"/>
      <x:c r="T23" s="9" t="str">
        <x:f>IF(Q23="","",Q23-180)</x:f>
      </x:c>
      <x:c r="U23" s="8"/>
      <x:c r="V23" s="8"/>
      <x:c r="W23" s="8"/>
    </x:row>
    <x:row r="24">
      <x:c r="A24" s="8"/>
      <x:c r="B24" s="9"/>
      <x:c r="C24" s="9"/>
      <x:c r="D24" s="9"/>
      <x:c r="E24" s="9"/>
      <x:c r="F24" s="8"/>
      <x:c r="G24" s="8"/>
      <x:c r="H24" s="10"/>
      <x:c r="I24" s="8"/>
      <x:c r="J24" s="8"/>
      <x:c r="K24" s="8"/>
      <x:c r="L24" s="11" t="str">
        <x:f>IF(E24="","",E24-TODAY())</x:f>
      </x:c>
      <x:c r="M24" s="8" t="str">
        <x:f>IF(E24="","待確認截止日",IF(L24&lt;0,"報名已截止",IF(L24&lt;=7,"7日內截止",IF(L24&lt;=30,"30日內截止","持續追蹤"))))</x:f>
        <x:v>待確認截止日</x:v>
      </x:c>
      <x:c r="N24" s="8"/>
      <x:c r="O24" s="8"/>
      <x:c r="P24" s="9"/>
      <x:c r="Q24" s="9"/>
      <x:c r="R24" s="9"/>
      <x:c r="S24" s="8"/>
      <x:c r="T24" s="9" t="str">
        <x:f>IF(Q24="","",Q24-180)</x:f>
      </x:c>
      <x:c r="U24" s="8"/>
      <x:c r="V24" s="8"/>
      <x:c r="W24" s="8"/>
    </x:row>
    <x:row r="25">
      <x:c r="A25" s="8"/>
      <x:c r="B25" s="9"/>
      <x:c r="C25" s="9"/>
      <x:c r="D25" s="9"/>
      <x:c r="E25" s="9"/>
      <x:c r="F25" s="8"/>
      <x:c r="G25" s="8"/>
      <x:c r="H25" s="10"/>
      <x:c r="I25" s="8"/>
      <x:c r="J25" s="8"/>
      <x:c r="K25" s="8"/>
      <x:c r="L25" s="11" t="str">
        <x:f>IF(E25="","",E25-TODAY())</x:f>
      </x:c>
      <x:c r="M25" s="8" t="str">
        <x:f>IF(E25="","待確認截止日",IF(L25&lt;0,"報名已截止",IF(L25&lt;=7,"7日內截止",IF(L25&lt;=30,"30日內截止","持續追蹤"))))</x:f>
        <x:v>待確認截止日</x:v>
      </x:c>
      <x:c r="N25" s="8"/>
      <x:c r="O25" s="8"/>
      <x:c r="P25" s="9"/>
      <x:c r="Q25" s="9"/>
      <x:c r="R25" s="9"/>
      <x:c r="S25" s="8"/>
      <x:c r="T25" s="9" t="str">
        <x:f>IF(Q25="","",Q25-180)</x:f>
      </x:c>
      <x:c r="U25" s="8"/>
      <x:c r="V25" s="8"/>
      <x:c r="W25" s="8"/>
    </x:row>
    <x:row r="26">
      <x:c r="A26" s="8"/>
      <x:c r="B26" s="9"/>
      <x:c r="C26" s="9"/>
      <x:c r="D26" s="9"/>
      <x:c r="E26" s="9"/>
      <x:c r="F26" s="8"/>
      <x:c r="G26" s="8"/>
      <x:c r="H26" s="10"/>
      <x:c r="I26" s="8"/>
      <x:c r="J26" s="8"/>
      <x:c r="K26" s="8"/>
      <x:c r="L26" s="11" t="str">
        <x:f>IF(E26="","",E26-TODAY())</x:f>
      </x:c>
      <x:c r="M26" s="8" t="str">
        <x:f>IF(E26="","待確認截止日",IF(L26&lt;0,"報名已截止",IF(L26&lt;=7,"7日內截止",IF(L26&lt;=30,"30日內截止","持續追蹤"))))</x:f>
        <x:v>待確認截止日</x:v>
      </x:c>
      <x:c r="N26" s="8"/>
      <x:c r="O26" s="8"/>
      <x:c r="P26" s="9"/>
      <x:c r="Q26" s="9"/>
      <x:c r="R26" s="9"/>
      <x:c r="S26" s="8"/>
      <x:c r="T26" s="9" t="str">
        <x:f>IF(Q26="","",Q26-180)</x:f>
      </x:c>
      <x:c r="U26" s="8"/>
      <x:c r="V26" s="8"/>
      <x:c r="W26" s="8"/>
    </x:row>
    <x:row r="27">
      <x:c r="A27" s="8"/>
      <x:c r="B27" s="9"/>
      <x:c r="C27" s="9"/>
      <x:c r="D27" s="9"/>
      <x:c r="E27" s="9"/>
      <x:c r="F27" s="8"/>
      <x:c r="G27" s="8"/>
      <x:c r="H27" s="10"/>
      <x:c r="I27" s="8"/>
      <x:c r="J27" s="8"/>
      <x:c r="K27" s="8"/>
      <x:c r="L27" s="11" t="str">
        <x:f>IF(E27="","",E27-TODAY())</x:f>
      </x:c>
      <x:c r="M27" s="8" t="str">
        <x:f>IF(E27="","待確認截止日",IF(L27&lt;0,"報名已截止",IF(L27&lt;=7,"7日內截止",IF(L27&lt;=30,"30日內截止","持續追蹤"))))</x:f>
        <x:v>待確認截止日</x:v>
      </x:c>
      <x:c r="N27" s="8"/>
      <x:c r="O27" s="8"/>
      <x:c r="P27" s="9"/>
      <x:c r="Q27" s="9"/>
      <x:c r="R27" s="9"/>
      <x:c r="S27" s="8"/>
      <x:c r="T27" s="9" t="str">
        <x:f>IF(Q27="","",Q27-180)</x:f>
      </x:c>
      <x:c r="U27" s="8"/>
      <x:c r="V27" s="8"/>
      <x:c r="W27" s="8"/>
    </x:row>
    <x:row r="28">
      <x:c r="A28" s="8"/>
      <x:c r="B28" s="9"/>
      <x:c r="C28" s="9"/>
      <x:c r="D28" s="9"/>
      <x:c r="E28" s="9"/>
      <x:c r="F28" s="8"/>
      <x:c r="G28" s="8"/>
      <x:c r="H28" s="10"/>
      <x:c r="I28" s="8"/>
      <x:c r="J28" s="8"/>
      <x:c r="K28" s="8"/>
      <x:c r="L28" s="11" t="str">
        <x:f>IF(E28="","",E28-TODAY())</x:f>
      </x:c>
      <x:c r="M28" s="8" t="str">
        <x:f>IF(E28="","待確認截止日",IF(L28&lt;0,"報名已截止",IF(L28&lt;=7,"7日內截止",IF(L28&lt;=30,"30日內截止","持續追蹤"))))</x:f>
        <x:v>待確認截止日</x:v>
      </x:c>
      <x:c r="N28" s="8"/>
      <x:c r="O28" s="8"/>
      <x:c r="P28" s="9"/>
      <x:c r="Q28" s="9"/>
      <x:c r="R28" s="9"/>
      <x:c r="S28" s="8"/>
      <x:c r="T28" s="9" t="str">
        <x:f>IF(Q28="","",Q28-180)</x:f>
      </x:c>
      <x:c r="U28" s="8"/>
      <x:c r="V28" s="8"/>
      <x:c r="W28" s="8"/>
    </x:row>
    <x:row r="29">
      <x:c r="A29" s="8"/>
      <x:c r="B29" s="9"/>
      <x:c r="C29" s="9"/>
      <x:c r="D29" s="9"/>
      <x:c r="E29" s="9"/>
      <x:c r="F29" s="8"/>
      <x:c r="G29" s="8"/>
      <x:c r="H29" s="10"/>
      <x:c r="I29" s="8"/>
      <x:c r="J29" s="8"/>
      <x:c r="K29" s="8"/>
      <x:c r="L29" s="11" t="str">
        <x:f>IF(E29="","",E29-TODAY())</x:f>
      </x:c>
      <x:c r="M29" s="8" t="str">
        <x:f>IF(E29="","待確認截止日",IF(L29&lt;0,"報名已截止",IF(L29&lt;=7,"7日內截止",IF(L29&lt;=30,"30日內截止","持續追蹤"))))</x:f>
        <x:v>待確認截止日</x:v>
      </x:c>
      <x:c r="N29" s="8"/>
      <x:c r="O29" s="8"/>
      <x:c r="P29" s="9"/>
      <x:c r="Q29" s="9"/>
      <x:c r="R29" s="9"/>
      <x:c r="S29" s="8"/>
      <x:c r="T29" s="9" t="str">
        <x:f>IF(Q29="","",Q29-180)</x:f>
      </x:c>
      <x:c r="U29" s="8"/>
      <x:c r="V29" s="8"/>
      <x:c r="W29" s="8"/>
    </x:row>
    <x:row r="30">
      <x:c r="A30" s="8"/>
      <x:c r="B30" s="9"/>
      <x:c r="C30" s="9"/>
      <x:c r="D30" s="9"/>
      <x:c r="E30" s="9"/>
      <x:c r="F30" s="8"/>
      <x:c r="G30" s="8"/>
      <x:c r="H30" s="10"/>
      <x:c r="I30" s="8"/>
      <x:c r="J30" s="8"/>
      <x:c r="K30" s="8"/>
      <x:c r="L30" s="11" t="str">
        <x:f>IF(E30="","",E30-TODAY())</x:f>
      </x:c>
      <x:c r="M30" s="8" t="str">
        <x:f>IF(E30="","待確認截止日",IF(L30&lt;0,"報名已截止",IF(L30&lt;=7,"7日內截止",IF(L30&lt;=30,"30日內截止","持續追蹤"))))</x:f>
        <x:v>待確認截止日</x:v>
      </x:c>
      <x:c r="N30" s="8"/>
      <x:c r="O30" s="8"/>
      <x:c r="P30" s="9"/>
      <x:c r="Q30" s="9"/>
      <x:c r="R30" s="9"/>
      <x:c r="S30" s="8"/>
      <x:c r="T30" s="9" t="str">
        <x:f>IF(Q30="","",Q30-180)</x:f>
      </x:c>
      <x:c r="U30" s="8"/>
      <x:c r="V30" s="8"/>
      <x:c r="W30" s="8"/>
    </x:row>
    <x:row r="31">
      <x:c r="A31" s="8"/>
      <x:c r="B31" s="9"/>
      <x:c r="C31" s="9"/>
      <x:c r="D31" s="9"/>
      <x:c r="E31" s="9"/>
      <x:c r="F31" s="8"/>
      <x:c r="G31" s="8"/>
      <x:c r="H31" s="10"/>
      <x:c r="I31" s="8"/>
      <x:c r="J31" s="8"/>
      <x:c r="K31" s="8"/>
      <x:c r="L31" s="11" t="str">
        <x:f>IF(E31="","",E31-TODAY())</x:f>
      </x:c>
      <x:c r="M31" s="8" t="str">
        <x:f>IF(E31="","待確認截止日",IF(L31&lt;0,"報名已截止",IF(L31&lt;=7,"7日內截止",IF(L31&lt;=30,"30日內截止","持續追蹤"))))</x:f>
        <x:v>待確認截止日</x:v>
      </x:c>
      <x:c r="N31" s="8"/>
      <x:c r="O31" s="8"/>
      <x:c r="P31" s="9"/>
      <x:c r="Q31" s="9"/>
      <x:c r="R31" s="9"/>
      <x:c r="S31" s="8"/>
      <x:c r="T31" s="9" t="str">
        <x:f>IF(Q31="","",Q31-180)</x:f>
      </x:c>
      <x:c r="U31" s="8"/>
      <x:c r="V31" s="8"/>
      <x:c r="W31" s="8"/>
    </x:row>
    <x:row r="32">
      <x:c r="A32" s="8"/>
      <x:c r="B32" s="9"/>
      <x:c r="C32" s="9"/>
      <x:c r="D32" s="9"/>
      <x:c r="E32" s="9"/>
      <x:c r="F32" s="8"/>
      <x:c r="G32" s="8"/>
      <x:c r="H32" s="10"/>
      <x:c r="I32" s="8"/>
      <x:c r="J32" s="8"/>
      <x:c r="K32" s="8"/>
      <x:c r="L32" s="11" t="str">
        <x:f>IF(E32="","",E32-TODAY())</x:f>
      </x:c>
      <x:c r="M32" s="8" t="str">
        <x:f>IF(E32="","待確認截止日",IF(L32&lt;0,"報名已截止",IF(L32&lt;=7,"7日內截止",IF(L32&lt;=30,"30日內截止","持續追蹤"))))</x:f>
        <x:v>待確認截止日</x:v>
      </x:c>
      <x:c r="N32" s="8"/>
      <x:c r="O32" s="8"/>
      <x:c r="P32" s="9"/>
      <x:c r="Q32" s="9"/>
      <x:c r="R32" s="9"/>
      <x:c r="S32" s="8"/>
      <x:c r="T32" s="9" t="str">
        <x:f>IF(Q32="","",Q32-180)</x:f>
      </x:c>
      <x:c r="U32" s="8"/>
      <x:c r="V32" s="8"/>
      <x:c r="W32" s="8"/>
    </x:row>
    <x:row r="33">
      <x:c r="A33" s="8"/>
      <x:c r="B33" s="9"/>
      <x:c r="C33" s="9"/>
      <x:c r="D33" s="9"/>
      <x:c r="E33" s="9"/>
      <x:c r="F33" s="8"/>
      <x:c r="G33" s="8"/>
      <x:c r="H33" s="10"/>
      <x:c r="I33" s="8"/>
      <x:c r="J33" s="8"/>
      <x:c r="K33" s="8"/>
      <x:c r="L33" s="11" t="str">
        <x:f>IF(E33="","",E33-TODAY())</x:f>
      </x:c>
      <x:c r="M33" s="8" t="str">
        <x:f>IF(E33="","待確認截止日",IF(L33&lt;0,"報名已截止",IF(L33&lt;=7,"7日內截止",IF(L33&lt;=30,"30日內截止","持續追蹤"))))</x:f>
        <x:v>待確認截止日</x:v>
      </x:c>
      <x:c r="N33" s="8"/>
      <x:c r="O33" s="8"/>
      <x:c r="P33" s="9"/>
      <x:c r="Q33" s="9"/>
      <x:c r="R33" s="9"/>
      <x:c r="S33" s="8"/>
      <x:c r="T33" s="9" t="str">
        <x:f>IF(Q33="","",Q33-180)</x:f>
      </x:c>
      <x:c r="U33" s="8"/>
      <x:c r="V33" s="8"/>
      <x:c r="W33" s="8"/>
    </x:row>
    <x:row r="34">
      <x:c r="A34" s="8"/>
      <x:c r="B34" s="9"/>
      <x:c r="C34" s="9"/>
      <x:c r="D34" s="9"/>
      <x:c r="E34" s="9"/>
      <x:c r="F34" s="8"/>
      <x:c r="G34" s="8"/>
      <x:c r="H34" s="10"/>
      <x:c r="I34" s="8"/>
      <x:c r="J34" s="8"/>
      <x:c r="K34" s="8"/>
      <x:c r="L34" s="11" t="str">
        <x:f>IF(E34="","",E34-TODAY())</x:f>
      </x:c>
      <x:c r="M34" s="8" t="str">
        <x:f>IF(E34="","待確認截止日",IF(L34&lt;0,"報名已截止",IF(L34&lt;=7,"7日內截止",IF(L34&lt;=30,"30日內截止","持續追蹤"))))</x:f>
        <x:v>待確認截止日</x:v>
      </x:c>
      <x:c r="N34" s="8"/>
      <x:c r="O34" s="8"/>
      <x:c r="P34" s="9"/>
      <x:c r="Q34" s="9"/>
      <x:c r="R34" s="9"/>
      <x:c r="S34" s="8"/>
      <x:c r="T34" s="9" t="str">
        <x:f>IF(Q34="","",Q34-180)</x:f>
      </x:c>
      <x:c r="U34" s="8"/>
      <x:c r="V34" s="8"/>
      <x:c r="W34" s="8"/>
    </x:row>
    <x:row r="35">
      <x:c r="A35" s="8"/>
      <x:c r="B35" s="9"/>
      <x:c r="C35" s="9"/>
      <x:c r="D35" s="9"/>
      <x:c r="E35" s="9"/>
      <x:c r="F35" s="8"/>
      <x:c r="G35" s="8"/>
      <x:c r="H35" s="10"/>
      <x:c r="I35" s="8"/>
      <x:c r="J35" s="8"/>
      <x:c r="K35" s="8"/>
      <x:c r="L35" s="11" t="str">
        <x:f>IF(E35="","",E35-TODAY())</x:f>
      </x:c>
      <x:c r="M35" s="8" t="str">
        <x:f>IF(E35="","待確認截止日",IF(L35&lt;0,"報名已截止",IF(L35&lt;=7,"7日內截止",IF(L35&lt;=30,"30日內截止","持續追蹤"))))</x:f>
        <x:v>待確認截止日</x:v>
      </x:c>
      <x:c r="N35" s="8"/>
      <x:c r="O35" s="8"/>
      <x:c r="P35" s="9"/>
      <x:c r="Q35" s="9"/>
      <x:c r="R35" s="9"/>
      <x:c r="S35" s="8"/>
      <x:c r="T35" s="9" t="str">
        <x:f>IF(Q35="","",Q35-180)</x:f>
      </x:c>
      <x:c r="U35" s="8"/>
      <x:c r="V35" s="8"/>
      <x:c r="W35" s="8"/>
    </x:row>
    <x:row r="36">
      <x:c r="A36" s="8"/>
      <x:c r="B36" s="9"/>
      <x:c r="C36" s="9"/>
      <x:c r="D36" s="9"/>
      <x:c r="E36" s="9"/>
      <x:c r="F36" s="8"/>
      <x:c r="G36" s="8"/>
      <x:c r="H36" s="10"/>
      <x:c r="I36" s="8"/>
      <x:c r="J36" s="8"/>
      <x:c r="K36" s="8"/>
      <x:c r="L36" s="11" t="str">
        <x:f>IF(E36="","",E36-TODAY())</x:f>
      </x:c>
      <x:c r="M36" s="8" t="str">
        <x:f>IF(E36="","待確認截止日",IF(L36&lt;0,"報名已截止",IF(L36&lt;=7,"7日內截止",IF(L36&lt;=30,"30日內截止","持續追蹤"))))</x:f>
        <x:v>待確認截止日</x:v>
      </x:c>
      <x:c r="N36" s="8"/>
      <x:c r="O36" s="8"/>
      <x:c r="P36" s="9"/>
      <x:c r="Q36" s="9"/>
      <x:c r="R36" s="9"/>
      <x:c r="S36" s="8"/>
      <x:c r="T36" s="9" t="str">
        <x:f>IF(Q36="","",Q36-180)</x:f>
      </x:c>
      <x:c r="U36" s="8"/>
      <x:c r="V36" s="8"/>
      <x:c r="W36" s="8"/>
    </x:row>
    <x:row r="37">
      <x:c r="A37" s="8"/>
      <x:c r="B37" s="9"/>
      <x:c r="C37" s="9"/>
      <x:c r="D37" s="9"/>
      <x:c r="E37" s="9"/>
      <x:c r="F37" s="8"/>
      <x:c r="G37" s="8"/>
      <x:c r="H37" s="10"/>
      <x:c r="I37" s="8"/>
      <x:c r="J37" s="8"/>
      <x:c r="K37" s="8"/>
      <x:c r="L37" s="11" t="str">
        <x:f>IF(E37="","",E37-TODAY())</x:f>
      </x:c>
      <x:c r="M37" s="8" t="str">
        <x:f>IF(E37="","待確認截止日",IF(L37&lt;0,"報名已截止",IF(L37&lt;=7,"7日內截止",IF(L37&lt;=30,"30日內截止","持續追蹤"))))</x:f>
        <x:v>待確認截止日</x:v>
      </x:c>
      <x:c r="N37" s="8"/>
      <x:c r="O37" s="8"/>
      <x:c r="P37" s="9"/>
      <x:c r="Q37" s="9"/>
      <x:c r="R37" s="9"/>
      <x:c r="S37" s="8"/>
      <x:c r="T37" s="9" t="str">
        <x:f>IF(Q37="","",Q37-180)</x:f>
      </x:c>
      <x:c r="U37" s="8"/>
      <x:c r="V37" s="8"/>
      <x:c r="W37" s="8"/>
    </x:row>
    <x:row r="38">
      <x:c r="A38" s="8"/>
      <x:c r="B38" s="9"/>
      <x:c r="C38" s="9"/>
      <x:c r="D38" s="9"/>
      <x:c r="E38" s="9"/>
      <x:c r="F38" s="8"/>
      <x:c r="G38" s="8"/>
      <x:c r="H38" s="10"/>
      <x:c r="I38" s="8"/>
      <x:c r="J38" s="8"/>
      <x:c r="K38" s="8"/>
      <x:c r="L38" s="11" t="str">
        <x:f>IF(E38="","",E38-TODAY())</x:f>
      </x:c>
      <x:c r="M38" s="8" t="str">
        <x:f>IF(E38="","待確認截止日",IF(L38&lt;0,"報名已截止",IF(L38&lt;=7,"7日內截止",IF(L38&lt;=30,"30日內截止","持續追蹤"))))</x:f>
        <x:v>待確認截止日</x:v>
      </x:c>
      <x:c r="N38" s="8"/>
      <x:c r="O38" s="8"/>
      <x:c r="P38" s="9"/>
      <x:c r="Q38" s="9"/>
      <x:c r="R38" s="9"/>
      <x:c r="S38" s="8"/>
      <x:c r="T38" s="9" t="str">
        <x:f>IF(Q38="","",Q38-180)</x:f>
      </x:c>
      <x:c r="U38" s="8"/>
      <x:c r="V38" s="8"/>
      <x:c r="W38" s="8"/>
    </x:row>
    <x:row r="39">
      <x:c r="A39" s="8"/>
      <x:c r="B39" s="9"/>
      <x:c r="C39" s="9"/>
      <x:c r="D39" s="9"/>
      <x:c r="E39" s="9"/>
      <x:c r="F39" s="8"/>
      <x:c r="G39" s="8"/>
      <x:c r="H39" s="10"/>
      <x:c r="I39" s="8"/>
      <x:c r="J39" s="8"/>
      <x:c r="K39" s="8"/>
      <x:c r="L39" s="11" t="str">
        <x:f>IF(E39="","",E39-TODAY())</x:f>
      </x:c>
      <x:c r="M39" s="8" t="str">
        <x:f>IF(E39="","待確認截止日",IF(L39&lt;0,"報名已截止",IF(L39&lt;=7,"7日內截止",IF(L39&lt;=30,"30日內截止","持續追蹤"))))</x:f>
        <x:v>待確認截止日</x:v>
      </x:c>
      <x:c r="N39" s="8"/>
      <x:c r="O39" s="8"/>
      <x:c r="P39" s="9"/>
      <x:c r="Q39" s="9"/>
      <x:c r="R39" s="9"/>
      <x:c r="S39" s="8"/>
      <x:c r="T39" s="9" t="str">
        <x:f>IF(Q39="","",Q39-180)</x:f>
      </x:c>
      <x:c r="U39" s="8"/>
      <x:c r="V39" s="8"/>
      <x:c r="W39" s="8"/>
    </x:row>
    <x:row r="40">
      <x:c r="A40" s="8"/>
      <x:c r="B40" s="9"/>
      <x:c r="C40" s="9"/>
      <x:c r="D40" s="9"/>
      <x:c r="E40" s="9"/>
      <x:c r="F40" s="8"/>
      <x:c r="G40" s="8"/>
      <x:c r="H40" s="10"/>
      <x:c r="I40" s="8"/>
      <x:c r="J40" s="8"/>
      <x:c r="K40" s="8"/>
      <x:c r="L40" s="11" t="str">
        <x:f>IF(E40="","",E40-TODAY())</x:f>
      </x:c>
      <x:c r="M40" s="8" t="str">
        <x:f>IF(E40="","待確認截止日",IF(L40&lt;0,"報名已截止",IF(L40&lt;=7,"7日內截止",IF(L40&lt;=30,"30日內截止","持續追蹤"))))</x:f>
        <x:v>待確認截止日</x:v>
      </x:c>
      <x:c r="N40" s="8"/>
      <x:c r="O40" s="8"/>
      <x:c r="P40" s="9"/>
      <x:c r="Q40" s="9"/>
      <x:c r="R40" s="9"/>
      <x:c r="S40" s="8"/>
      <x:c r="T40" s="9" t="str">
        <x:f>IF(Q40="","",Q40-180)</x:f>
      </x:c>
      <x:c r="U40" s="8"/>
      <x:c r="V40" s="8"/>
      <x:c r="W40" s="8"/>
    </x:row>
    <x:row r="41">
      <x:c r="A41" s="8"/>
      <x:c r="B41" s="9"/>
      <x:c r="C41" s="9"/>
      <x:c r="D41" s="9"/>
      <x:c r="E41" s="9"/>
      <x:c r="F41" s="8"/>
      <x:c r="G41" s="8"/>
      <x:c r="H41" s="10"/>
      <x:c r="I41" s="8"/>
      <x:c r="J41" s="8"/>
      <x:c r="K41" s="8"/>
      <x:c r="L41" s="11" t="str">
        <x:f>IF(E41="","",E41-TODAY())</x:f>
      </x:c>
      <x:c r="M41" s="8" t="str">
        <x:f>IF(E41="","待確認截止日",IF(L41&lt;0,"報名已截止",IF(L41&lt;=7,"7日內截止",IF(L41&lt;=30,"30日內截止","持續追蹤"))))</x:f>
        <x:v>待確認截止日</x:v>
      </x:c>
      <x:c r="N41" s="8"/>
      <x:c r="O41" s="8"/>
      <x:c r="P41" s="9"/>
      <x:c r="Q41" s="9"/>
      <x:c r="R41" s="9"/>
      <x:c r="S41" s="8"/>
      <x:c r="T41" s="9" t="str">
        <x:f>IF(Q41="","",Q41-180)</x:f>
      </x:c>
      <x:c r="U41" s="8"/>
      <x:c r="V41" s="8"/>
      <x:c r="W41" s="8"/>
    </x:row>
    <x:row r="42">
      <x:c r="A42" s="8"/>
      <x:c r="B42" s="9"/>
      <x:c r="C42" s="9"/>
      <x:c r="D42" s="9"/>
      <x:c r="E42" s="9"/>
      <x:c r="F42" s="8"/>
      <x:c r="G42" s="8"/>
      <x:c r="H42" s="10"/>
      <x:c r="I42" s="8"/>
      <x:c r="J42" s="8"/>
      <x:c r="K42" s="8"/>
      <x:c r="L42" s="11" t="str">
        <x:f>IF(E42="","",E42-TODAY())</x:f>
      </x:c>
      <x:c r="M42" s="8" t="str">
        <x:f>IF(E42="","待確認截止日",IF(L42&lt;0,"報名已截止",IF(L42&lt;=7,"7日內截止",IF(L42&lt;=30,"30日內截止","持續追蹤"))))</x:f>
        <x:v>待確認截止日</x:v>
      </x:c>
      <x:c r="N42" s="8"/>
      <x:c r="O42" s="8"/>
      <x:c r="P42" s="9"/>
      <x:c r="Q42" s="9"/>
      <x:c r="R42" s="9"/>
      <x:c r="S42" s="8"/>
      <x:c r="T42" s="9" t="str">
        <x:f>IF(Q42="","",Q42-180)</x:f>
      </x:c>
      <x:c r="U42" s="8"/>
      <x:c r="V42" s="8"/>
      <x:c r="W42" s="8"/>
    </x:row>
    <x:row r="43">
      <x:c r="A43" s="8"/>
      <x:c r="B43" s="9"/>
      <x:c r="C43" s="9"/>
      <x:c r="D43" s="9"/>
      <x:c r="E43" s="9"/>
      <x:c r="F43" s="8"/>
      <x:c r="G43" s="8"/>
      <x:c r="H43" s="10"/>
      <x:c r="I43" s="8"/>
      <x:c r="J43" s="8"/>
      <x:c r="K43" s="8"/>
      <x:c r="L43" s="11" t="str">
        <x:f>IF(E43="","",E43-TODAY())</x:f>
      </x:c>
      <x:c r="M43" s="8" t="str">
        <x:f>IF(E43="","待確認截止日",IF(L43&lt;0,"報名已截止",IF(L43&lt;=7,"7日內截止",IF(L43&lt;=30,"30日內截止","持續追蹤"))))</x:f>
        <x:v>待確認截止日</x:v>
      </x:c>
      <x:c r="N43" s="8"/>
      <x:c r="O43" s="8"/>
      <x:c r="P43" s="9"/>
      <x:c r="Q43" s="9"/>
      <x:c r="R43" s="9"/>
      <x:c r="S43" s="8"/>
      <x:c r="T43" s="9" t="str">
        <x:f>IF(Q43="","",Q43-180)</x:f>
      </x:c>
      <x:c r="U43" s="8"/>
      <x:c r="V43" s="8"/>
      <x:c r="W43" s="8"/>
    </x:row>
    <x:row r="44">
      <x:c r="A44" s="8"/>
      <x:c r="B44" s="9"/>
      <x:c r="C44" s="9"/>
      <x:c r="D44" s="9"/>
      <x:c r="E44" s="9"/>
      <x:c r="F44" s="8"/>
      <x:c r="G44" s="8"/>
      <x:c r="H44" s="10"/>
      <x:c r="I44" s="8"/>
      <x:c r="J44" s="8"/>
      <x:c r="K44" s="8"/>
      <x:c r="L44" s="11" t="str">
        <x:f>IF(E44="","",E44-TODAY())</x:f>
      </x:c>
      <x:c r="M44" s="8" t="str">
        <x:f>IF(E44="","待確認截止日",IF(L44&lt;0,"報名已截止",IF(L44&lt;=7,"7日內截止",IF(L44&lt;=30,"30日內截止","持續追蹤"))))</x:f>
        <x:v>待確認截止日</x:v>
      </x:c>
      <x:c r="N44" s="8"/>
      <x:c r="O44" s="8"/>
      <x:c r="P44" s="9"/>
      <x:c r="Q44" s="9"/>
      <x:c r="R44" s="9"/>
      <x:c r="S44" s="8"/>
      <x:c r="T44" s="9" t="str">
        <x:f>IF(Q44="","",Q44-180)</x:f>
      </x:c>
      <x:c r="U44" s="8"/>
      <x:c r="V44" s="8"/>
      <x:c r="W44" s="8"/>
    </x:row>
    <x:row r="45">
      <x:c r="A45" s="8"/>
      <x:c r="B45" s="9"/>
      <x:c r="C45" s="9"/>
      <x:c r="D45" s="9"/>
      <x:c r="E45" s="9"/>
      <x:c r="F45" s="8"/>
      <x:c r="G45" s="8"/>
      <x:c r="H45" s="10"/>
      <x:c r="I45" s="8"/>
      <x:c r="J45" s="8"/>
      <x:c r="K45" s="8"/>
      <x:c r="L45" s="11" t="str">
        <x:f>IF(E45="","",E45-TODAY())</x:f>
      </x:c>
      <x:c r="M45" s="8" t="str">
        <x:f>IF(E45="","待確認截止日",IF(L45&lt;0,"報名已截止",IF(L45&lt;=7,"7日內截止",IF(L45&lt;=30,"30日內截止","持續追蹤"))))</x:f>
        <x:v>待確認截止日</x:v>
      </x:c>
      <x:c r="N45" s="8"/>
      <x:c r="O45" s="8"/>
      <x:c r="P45" s="9"/>
      <x:c r="Q45" s="9"/>
      <x:c r="R45" s="9"/>
      <x:c r="S45" s="8"/>
      <x:c r="T45" s="9" t="str">
        <x:f>IF(Q45="","",Q45-180)</x:f>
      </x:c>
      <x:c r="U45" s="8"/>
      <x:c r="V45" s="8"/>
      <x:c r="W45" s="8"/>
    </x:row>
    <x:row r="46">
      <x:c r="A46" s="8"/>
      <x:c r="B46" s="9"/>
      <x:c r="C46" s="9"/>
      <x:c r="D46" s="9"/>
      <x:c r="E46" s="9"/>
      <x:c r="F46" s="8"/>
      <x:c r="G46" s="8"/>
      <x:c r="H46" s="10"/>
      <x:c r="I46" s="8"/>
      <x:c r="J46" s="8"/>
      <x:c r="K46" s="8"/>
      <x:c r="L46" s="11" t="str">
        <x:f>IF(E46="","",E46-TODAY())</x:f>
      </x:c>
      <x:c r="M46" s="8" t="str">
        <x:f>IF(E46="","待確認截止日",IF(L46&lt;0,"報名已截止",IF(L46&lt;=7,"7日內截止",IF(L46&lt;=30,"30日內截止","持續追蹤"))))</x:f>
        <x:v>待確認截止日</x:v>
      </x:c>
      <x:c r="N46" s="8"/>
      <x:c r="O46" s="8"/>
      <x:c r="P46" s="9"/>
      <x:c r="Q46" s="9"/>
      <x:c r="R46" s="9"/>
      <x:c r="S46" s="8"/>
      <x:c r="T46" s="9" t="str">
        <x:f>IF(Q46="","",Q46-180)</x:f>
      </x:c>
      <x:c r="U46" s="8"/>
      <x:c r="V46" s="8"/>
      <x:c r="W46" s="8"/>
    </x:row>
    <x:row r="47">
      <x:c r="A47" s="8"/>
      <x:c r="B47" s="9"/>
      <x:c r="C47" s="9"/>
      <x:c r="D47" s="9"/>
      <x:c r="E47" s="9"/>
      <x:c r="F47" s="8"/>
      <x:c r="G47" s="8"/>
      <x:c r="H47" s="10"/>
      <x:c r="I47" s="8"/>
      <x:c r="J47" s="8"/>
      <x:c r="K47" s="8"/>
      <x:c r="L47" s="11" t="str">
        <x:f>IF(E47="","",E47-TODAY())</x:f>
      </x:c>
      <x:c r="M47" s="8" t="str">
        <x:f>IF(E47="","待確認截止日",IF(L47&lt;0,"報名已截止",IF(L47&lt;=7,"7日內截止",IF(L47&lt;=30,"30日內截止","持續追蹤"))))</x:f>
        <x:v>待確認截止日</x:v>
      </x:c>
      <x:c r="N47" s="8"/>
      <x:c r="O47" s="8"/>
      <x:c r="P47" s="9"/>
      <x:c r="Q47" s="9"/>
      <x:c r="R47" s="9"/>
      <x:c r="S47" s="8"/>
      <x:c r="T47" s="9" t="str">
        <x:f>IF(Q47="","",Q47-180)</x:f>
      </x:c>
      <x:c r="U47" s="8"/>
      <x:c r="V47" s="8"/>
      <x:c r="W47" s="8"/>
    </x:row>
    <x:row r="48">
      <x:c r="A48" s="8"/>
      <x:c r="B48" s="9"/>
      <x:c r="C48" s="9"/>
      <x:c r="D48" s="9"/>
      <x:c r="E48" s="9"/>
      <x:c r="F48" s="8"/>
      <x:c r="G48" s="8"/>
      <x:c r="H48" s="10"/>
      <x:c r="I48" s="8"/>
      <x:c r="J48" s="8"/>
      <x:c r="K48" s="8"/>
      <x:c r="L48" s="11" t="str">
        <x:f>IF(E48="","",E48-TODAY())</x:f>
      </x:c>
      <x:c r="M48" s="8" t="str">
        <x:f>IF(E48="","待確認截止日",IF(L48&lt;0,"報名已截止",IF(L48&lt;=7,"7日內截止",IF(L48&lt;=30,"30日內截止","持續追蹤"))))</x:f>
        <x:v>待確認截止日</x:v>
      </x:c>
      <x:c r="N48" s="8"/>
      <x:c r="O48" s="8"/>
      <x:c r="P48" s="9"/>
      <x:c r="Q48" s="9"/>
      <x:c r="R48" s="9"/>
      <x:c r="S48" s="8"/>
      <x:c r="T48" s="9" t="str">
        <x:f>IF(Q48="","",Q48-180)</x:f>
      </x:c>
      <x:c r="U48" s="8"/>
      <x:c r="V48" s="8"/>
      <x:c r="W48" s="8"/>
    </x:row>
    <x:row r="49">
      <x:c r="A49" s="8"/>
      <x:c r="B49" s="9"/>
      <x:c r="C49" s="9"/>
      <x:c r="D49" s="9"/>
      <x:c r="E49" s="9"/>
      <x:c r="F49" s="8"/>
      <x:c r="G49" s="8"/>
      <x:c r="H49" s="10"/>
      <x:c r="I49" s="8"/>
      <x:c r="J49" s="8"/>
      <x:c r="K49" s="8"/>
      <x:c r="L49" s="11" t="str">
        <x:f>IF(E49="","",E49-TODAY())</x:f>
      </x:c>
      <x:c r="M49" s="8" t="str">
        <x:f>IF(E49="","待確認截止日",IF(L49&lt;0,"報名已截止",IF(L49&lt;=7,"7日內截止",IF(L49&lt;=30,"30日內截止","持續追蹤"))))</x:f>
        <x:v>待確認截止日</x:v>
      </x:c>
      <x:c r="N49" s="8"/>
      <x:c r="O49" s="8"/>
      <x:c r="P49" s="9"/>
      <x:c r="Q49" s="9"/>
      <x:c r="R49" s="9"/>
      <x:c r="S49" s="8"/>
      <x:c r="T49" s="9" t="str">
        <x:f>IF(Q49="","",Q49-180)</x:f>
      </x:c>
      <x:c r="U49" s="8"/>
      <x:c r="V49" s="8"/>
      <x:c r="W49" s="8"/>
    </x:row>
    <x:row r="50">
      <x:c r="A50" s="8"/>
      <x:c r="B50" s="9"/>
      <x:c r="C50" s="9"/>
      <x:c r="D50" s="9"/>
      <x:c r="E50" s="9"/>
      <x:c r="F50" s="8"/>
      <x:c r="G50" s="8"/>
      <x:c r="H50" s="10"/>
      <x:c r="I50" s="8"/>
      <x:c r="J50" s="8"/>
      <x:c r="K50" s="8"/>
      <x:c r="L50" s="11" t="str">
        <x:f>IF(E50="","",E50-TODAY())</x:f>
      </x:c>
      <x:c r="M50" s="8" t="str">
        <x:f>IF(E50="","待確認截止日",IF(L50&lt;0,"報名已截止",IF(L50&lt;=7,"7日內截止",IF(L50&lt;=30,"30日內截止","持續追蹤"))))</x:f>
        <x:v>待確認截止日</x:v>
      </x:c>
      <x:c r="N50" s="8"/>
      <x:c r="O50" s="8"/>
      <x:c r="P50" s="9"/>
      <x:c r="Q50" s="9"/>
      <x:c r="R50" s="9"/>
      <x:c r="S50" s="8"/>
      <x:c r="T50" s="9" t="str">
        <x:f>IF(Q50="","",Q50-180)</x:f>
      </x:c>
      <x:c r="U50" s="8"/>
      <x:c r="V50" s="8"/>
      <x:c r="W50" s="8"/>
    </x:row>
    <x:row r="51">
      <x:c r="A51" s="8"/>
      <x:c r="B51" s="9"/>
      <x:c r="C51" s="9"/>
      <x:c r="D51" s="9"/>
      <x:c r="E51" s="9"/>
      <x:c r="F51" s="8"/>
      <x:c r="G51" s="8"/>
      <x:c r="H51" s="10"/>
      <x:c r="I51" s="8"/>
      <x:c r="J51" s="8"/>
      <x:c r="K51" s="8"/>
      <x:c r="L51" s="11" t="str">
        <x:f>IF(E51="","",E51-TODAY())</x:f>
      </x:c>
      <x:c r="M51" s="8" t="str">
        <x:f>IF(E51="","待確認截止日",IF(L51&lt;0,"報名已截止",IF(L51&lt;=7,"7日內截止",IF(L51&lt;=30,"30日內截止","持續追蹤"))))</x:f>
        <x:v>待確認截止日</x:v>
      </x:c>
      <x:c r="N51" s="8"/>
      <x:c r="O51" s="8"/>
      <x:c r="P51" s="9"/>
      <x:c r="Q51" s="9"/>
      <x:c r="R51" s="9"/>
      <x:c r="S51" s="8"/>
      <x:c r="T51" s="9" t="str">
        <x:f>IF(Q51="","",Q51-180)</x:f>
      </x:c>
      <x:c r="U51" s="8"/>
      <x:c r="V51" s="8"/>
      <x:c r="W51" s="8"/>
    </x:row>
    <x:row r="52">
      <x:c r="A52" s="8"/>
      <x:c r="B52" s="9"/>
      <x:c r="C52" s="9"/>
      <x:c r="D52" s="9"/>
      <x:c r="E52" s="9"/>
      <x:c r="F52" s="8"/>
      <x:c r="G52" s="8"/>
      <x:c r="H52" s="10"/>
      <x:c r="I52" s="8"/>
      <x:c r="J52" s="8"/>
      <x:c r="K52" s="8"/>
      <x:c r="L52" s="11" t="str">
        <x:f>IF(E52="","",E52-TODAY())</x:f>
      </x:c>
      <x:c r="M52" s="8" t="str">
        <x:f>IF(E52="","待確認截止日",IF(L52&lt;0,"報名已截止",IF(L52&lt;=7,"7日內截止",IF(L52&lt;=30,"30日內截止","持續追蹤"))))</x:f>
        <x:v>待確認截止日</x:v>
      </x:c>
      <x:c r="N52" s="8"/>
      <x:c r="O52" s="8"/>
      <x:c r="P52" s="9"/>
      <x:c r="Q52" s="9"/>
      <x:c r="R52" s="9"/>
      <x:c r="S52" s="8"/>
      <x:c r="T52" s="9" t="str">
        <x:f>IF(Q52="","",Q52-180)</x:f>
      </x:c>
      <x:c r="U52" s="8"/>
      <x:c r="V52" s="8"/>
      <x:c r="W52" s="8"/>
    </x:row>
    <x:row r="53">
      <x:c r="A53" s="8"/>
      <x:c r="B53" s="9"/>
      <x:c r="C53" s="9"/>
      <x:c r="D53" s="9"/>
      <x:c r="E53" s="9"/>
      <x:c r="F53" s="8"/>
      <x:c r="G53" s="8"/>
      <x:c r="H53" s="10"/>
      <x:c r="I53" s="8"/>
      <x:c r="J53" s="8"/>
      <x:c r="K53" s="8"/>
      <x:c r="L53" s="11" t="str">
        <x:f>IF(E53="","",E53-TODAY())</x:f>
      </x:c>
      <x:c r="M53" s="8" t="str">
        <x:f>IF(E53="","待確認截止日",IF(L53&lt;0,"報名已截止",IF(L53&lt;=7,"7日內截止",IF(L53&lt;=30,"30日內截止","持續追蹤"))))</x:f>
        <x:v>待確認截止日</x:v>
      </x:c>
      <x:c r="N53" s="8"/>
      <x:c r="O53" s="8"/>
      <x:c r="P53" s="9"/>
      <x:c r="Q53" s="9"/>
      <x:c r="R53" s="9"/>
      <x:c r="S53" s="8"/>
      <x:c r="T53" s="9" t="str">
        <x:f>IF(Q53="","",Q53-180)</x:f>
      </x:c>
      <x:c r="U53" s="8"/>
      <x:c r="V53" s="8"/>
      <x:c r="W53" s="8"/>
    </x:row>
    <x:row r="54">
      <x:c r="A54" s="8"/>
      <x:c r="B54" s="9"/>
      <x:c r="C54" s="9"/>
      <x:c r="D54" s="9"/>
      <x:c r="E54" s="9"/>
      <x:c r="F54" s="8"/>
      <x:c r="G54" s="8"/>
      <x:c r="H54" s="10"/>
      <x:c r="I54" s="8"/>
      <x:c r="J54" s="8"/>
      <x:c r="K54" s="8"/>
      <x:c r="L54" s="11" t="str">
        <x:f>IF(E54="","",E54-TODAY())</x:f>
      </x:c>
      <x:c r="M54" s="8" t="str">
        <x:f>IF(E54="","待確認截止日",IF(L54&lt;0,"報名已截止",IF(L54&lt;=7,"7日內截止",IF(L54&lt;=30,"30日內截止","持續追蹤"))))</x:f>
        <x:v>待確認截止日</x:v>
      </x:c>
      <x:c r="N54" s="8"/>
      <x:c r="O54" s="8"/>
      <x:c r="P54" s="9"/>
      <x:c r="Q54" s="9"/>
      <x:c r="R54" s="9"/>
      <x:c r="S54" s="8"/>
      <x:c r="T54" s="9" t="str">
        <x:f>IF(Q54="","",Q54-180)</x:f>
      </x:c>
      <x:c r="U54" s="8"/>
      <x:c r="V54" s="8"/>
      <x:c r="W54" s="8"/>
    </x:row>
    <x:row r="55">
      <x:c r="A55" s="8"/>
      <x:c r="B55" s="9"/>
      <x:c r="C55" s="9"/>
      <x:c r="D55" s="9"/>
      <x:c r="E55" s="9"/>
      <x:c r="F55" s="8"/>
      <x:c r="G55" s="8"/>
      <x:c r="H55" s="10"/>
      <x:c r="I55" s="8"/>
      <x:c r="J55" s="8"/>
      <x:c r="K55" s="8"/>
      <x:c r="L55" s="11" t="str">
        <x:f>IF(E55="","",E55-TODAY())</x:f>
      </x:c>
      <x:c r="M55" s="8" t="str">
        <x:f>IF(E55="","待確認截止日",IF(L55&lt;0,"報名已截止",IF(L55&lt;=7,"7日內截止",IF(L55&lt;=30,"30日內截止","持續追蹤"))))</x:f>
        <x:v>待確認截止日</x:v>
      </x:c>
      <x:c r="N55" s="8"/>
      <x:c r="O55" s="8"/>
      <x:c r="P55" s="9"/>
      <x:c r="Q55" s="9"/>
      <x:c r="R55" s="9"/>
      <x:c r="S55" s="8"/>
      <x:c r="T55" s="9" t="str">
        <x:f>IF(Q55="","",Q55-180)</x:f>
      </x:c>
      <x:c r="U55" s="8"/>
      <x:c r="V55" s="8"/>
      <x:c r="W55" s="8"/>
    </x:row>
    <x:row r="56">
      <x:c r="A56" s="8"/>
      <x:c r="B56" s="9"/>
      <x:c r="C56" s="9"/>
      <x:c r="D56" s="9"/>
      <x:c r="E56" s="9"/>
      <x:c r="F56" s="8"/>
      <x:c r="G56" s="8"/>
      <x:c r="H56" s="10"/>
      <x:c r="I56" s="8"/>
      <x:c r="J56" s="8"/>
      <x:c r="K56" s="8"/>
      <x:c r="L56" s="11" t="str">
        <x:f>IF(E56="","",E56-TODAY())</x:f>
      </x:c>
      <x:c r="M56" s="8" t="str">
        <x:f>IF(E56="","待確認截止日",IF(L56&lt;0,"報名已截止",IF(L56&lt;=7,"7日內截止",IF(L56&lt;=30,"30日內截止","持續追蹤"))))</x:f>
        <x:v>待確認截止日</x:v>
      </x:c>
      <x:c r="N56" s="8"/>
      <x:c r="O56" s="8"/>
      <x:c r="P56" s="9"/>
      <x:c r="Q56" s="9"/>
      <x:c r="R56" s="9"/>
      <x:c r="S56" s="8"/>
      <x:c r="T56" s="9" t="str">
        <x:f>IF(Q56="","",Q56-180)</x:f>
      </x:c>
      <x:c r="U56" s="8"/>
      <x:c r="V56" s="8"/>
      <x:c r="W56" s="8"/>
    </x:row>
    <x:row r="57">
      <x:c r="A57" s="8"/>
      <x:c r="B57" s="9"/>
      <x:c r="C57" s="9"/>
      <x:c r="D57" s="9"/>
      <x:c r="E57" s="9"/>
      <x:c r="F57" s="8"/>
      <x:c r="G57" s="8"/>
      <x:c r="H57" s="10"/>
      <x:c r="I57" s="8"/>
      <x:c r="J57" s="8"/>
      <x:c r="K57" s="8"/>
      <x:c r="L57" s="11" t="str">
        <x:f>IF(E57="","",E57-TODAY())</x:f>
      </x:c>
      <x:c r="M57" s="8" t="str">
        <x:f>IF(E57="","待確認截止日",IF(L57&lt;0,"報名已截止",IF(L57&lt;=7,"7日內截止",IF(L57&lt;=30,"30日內截止","持續追蹤"))))</x:f>
        <x:v>待確認截止日</x:v>
      </x:c>
      <x:c r="N57" s="8"/>
      <x:c r="O57" s="8"/>
      <x:c r="P57" s="9"/>
      <x:c r="Q57" s="9"/>
      <x:c r="R57" s="9"/>
      <x:c r="S57" s="8"/>
      <x:c r="T57" s="9" t="str">
        <x:f>IF(Q57="","",Q57-180)</x:f>
      </x:c>
      <x:c r="U57" s="8"/>
      <x:c r="V57" s="8"/>
      <x:c r="W57" s="8"/>
    </x:row>
    <x:row r="58">
      <x:c r="A58" s="8"/>
      <x:c r="B58" s="9"/>
      <x:c r="C58" s="9"/>
      <x:c r="D58" s="9"/>
      <x:c r="E58" s="9"/>
      <x:c r="F58" s="8"/>
      <x:c r="G58" s="8"/>
      <x:c r="H58" s="10"/>
      <x:c r="I58" s="8"/>
      <x:c r="J58" s="8"/>
      <x:c r="K58" s="8"/>
      <x:c r="L58" s="11" t="str">
        <x:f>IF(E58="","",E58-TODAY())</x:f>
      </x:c>
      <x:c r="M58" s="8" t="str">
        <x:f>IF(E58="","待確認截止日",IF(L58&lt;0,"報名已截止",IF(L58&lt;=7,"7日內截止",IF(L58&lt;=30,"30日內截止","持續追蹤"))))</x:f>
        <x:v>待確認截止日</x:v>
      </x:c>
      <x:c r="N58" s="8"/>
      <x:c r="O58" s="8"/>
      <x:c r="P58" s="9"/>
      <x:c r="Q58" s="9"/>
      <x:c r="R58" s="9"/>
      <x:c r="S58" s="8"/>
      <x:c r="T58" s="9" t="str">
        <x:f>IF(Q58="","",Q58-180)</x:f>
      </x:c>
      <x:c r="U58" s="8"/>
      <x:c r="V58" s="8"/>
      <x:c r="W58" s="8"/>
    </x:row>
    <x:row r="59">
      <x:c r="A59" s="8"/>
      <x:c r="B59" s="9"/>
      <x:c r="C59" s="9"/>
      <x:c r="D59" s="9"/>
      <x:c r="E59" s="9"/>
      <x:c r="F59" s="8"/>
      <x:c r="G59" s="8"/>
      <x:c r="H59" s="10"/>
      <x:c r="I59" s="8"/>
      <x:c r="J59" s="8"/>
      <x:c r="K59" s="8"/>
      <x:c r="L59" s="11" t="str">
        <x:f>IF(E59="","",E59-TODAY())</x:f>
      </x:c>
      <x:c r="M59" s="8" t="str">
        <x:f>IF(E59="","待確認截止日",IF(L59&lt;0,"報名已截止",IF(L59&lt;=7,"7日內截止",IF(L59&lt;=30,"30日內截止","持續追蹤"))))</x:f>
        <x:v>待確認截止日</x:v>
      </x:c>
      <x:c r="N59" s="8"/>
      <x:c r="O59" s="8"/>
      <x:c r="P59" s="9"/>
      <x:c r="Q59" s="9"/>
      <x:c r="R59" s="9"/>
      <x:c r="S59" s="8"/>
      <x:c r="T59" s="9" t="str">
        <x:f>IF(Q59="","",Q59-180)</x:f>
      </x:c>
      <x:c r="U59" s="8"/>
      <x:c r="V59" s="8"/>
      <x:c r="W59" s="8"/>
    </x:row>
    <x:row r="60">
      <x:c r="A60" s="8"/>
      <x:c r="B60" s="9"/>
      <x:c r="C60" s="9"/>
      <x:c r="D60" s="9"/>
      <x:c r="E60" s="9"/>
      <x:c r="F60" s="8"/>
      <x:c r="G60" s="8"/>
      <x:c r="H60" s="10"/>
      <x:c r="I60" s="8"/>
      <x:c r="J60" s="8"/>
      <x:c r="K60" s="8"/>
      <x:c r="L60" s="11" t="str">
        <x:f>IF(E60="","",E60-TODAY())</x:f>
      </x:c>
      <x:c r="M60" s="8" t="str">
        <x:f>IF(E60="","待確認截止日",IF(L60&lt;0,"報名已截止",IF(L60&lt;=7,"7日內截止",IF(L60&lt;=30,"30日內截止","持續追蹤"))))</x:f>
        <x:v>待確認截止日</x:v>
      </x:c>
      <x:c r="N60" s="8"/>
      <x:c r="O60" s="8"/>
      <x:c r="P60" s="9"/>
      <x:c r="Q60" s="9"/>
      <x:c r="R60" s="9"/>
      <x:c r="S60" s="8"/>
      <x:c r="T60" s="9" t="str">
        <x:f>IF(Q60="","",Q60-180)</x:f>
      </x:c>
      <x:c r="U60" s="8"/>
      <x:c r="V60" s="8"/>
      <x:c r="W60" s="8"/>
    </x:row>
    <x:row r="61">
      <x:c r="A61" s="8"/>
      <x:c r="B61" s="9"/>
      <x:c r="C61" s="9"/>
      <x:c r="D61" s="9"/>
      <x:c r="E61" s="9"/>
      <x:c r="F61" s="8"/>
      <x:c r="G61" s="8"/>
      <x:c r="H61" s="10"/>
      <x:c r="I61" s="8"/>
      <x:c r="J61" s="8"/>
      <x:c r="K61" s="8"/>
      <x:c r="L61" s="11" t="str">
        <x:f>IF(E61="","",E61-TODAY())</x:f>
      </x:c>
      <x:c r="M61" s="8" t="str">
        <x:f>IF(E61="","待確認截止日",IF(L61&lt;0,"報名已截止",IF(L61&lt;=7,"7日內截止",IF(L61&lt;=30,"30日內截止","持續追蹤"))))</x:f>
        <x:v>待確認截止日</x:v>
      </x:c>
      <x:c r="N61" s="8"/>
      <x:c r="O61" s="8"/>
      <x:c r="P61" s="9"/>
      <x:c r="Q61" s="9"/>
      <x:c r="R61" s="9"/>
      <x:c r="S61" s="8"/>
      <x:c r="T61" s="9" t="str">
        <x:f>IF(Q61="","",Q61-180)</x:f>
      </x:c>
      <x:c r="U61" s="8"/>
      <x:c r="V61" s="8"/>
      <x:c r="W61" s="8"/>
    </x:row>
    <x:row r="62">
      <x:c r="A62" s="8"/>
      <x:c r="B62" s="9"/>
      <x:c r="C62" s="9"/>
      <x:c r="D62" s="9"/>
      <x:c r="E62" s="9"/>
      <x:c r="F62" s="8"/>
      <x:c r="G62" s="8"/>
      <x:c r="H62" s="10"/>
      <x:c r="I62" s="8"/>
      <x:c r="J62" s="8"/>
      <x:c r="K62" s="8"/>
      <x:c r="L62" s="11" t="str">
        <x:f>IF(E62="","",E62-TODAY())</x:f>
      </x:c>
      <x:c r="M62" s="8" t="str">
        <x:f>IF(E62="","待確認截止日",IF(L62&lt;0,"報名已截止",IF(L62&lt;=7,"7日內截止",IF(L62&lt;=30,"30日內截止","持續追蹤"))))</x:f>
        <x:v>待確認截止日</x:v>
      </x:c>
      <x:c r="N62" s="8"/>
      <x:c r="O62" s="8"/>
      <x:c r="P62" s="9"/>
      <x:c r="Q62" s="9"/>
      <x:c r="R62" s="9"/>
      <x:c r="S62" s="8"/>
      <x:c r="T62" s="9" t="str">
        <x:f>IF(Q62="","",Q62-180)</x:f>
      </x:c>
      <x:c r="U62" s="8"/>
      <x:c r="V62" s="8"/>
      <x:c r="W62" s="8"/>
    </x:row>
    <x:row r="63">
      <x:c r="A63" s="8"/>
      <x:c r="B63" s="9"/>
      <x:c r="C63" s="9"/>
      <x:c r="D63" s="9"/>
      <x:c r="E63" s="9"/>
      <x:c r="F63" s="8"/>
      <x:c r="G63" s="8"/>
      <x:c r="H63" s="10"/>
      <x:c r="I63" s="8"/>
      <x:c r="J63" s="8"/>
      <x:c r="K63" s="8"/>
      <x:c r="L63" s="11" t="str">
        <x:f>IF(E63="","",E63-TODAY())</x:f>
      </x:c>
      <x:c r="M63" s="8" t="str">
        <x:f>IF(E63="","待確認截止日",IF(L63&lt;0,"報名已截止",IF(L63&lt;=7,"7日內截止",IF(L63&lt;=30,"30日內截止","持續追蹤"))))</x:f>
        <x:v>待確認截止日</x:v>
      </x:c>
      <x:c r="N63" s="8"/>
      <x:c r="O63" s="8"/>
      <x:c r="P63" s="9"/>
      <x:c r="Q63" s="9"/>
      <x:c r="R63" s="9"/>
      <x:c r="S63" s="8"/>
      <x:c r="T63" s="9" t="str">
        <x:f>IF(Q63="","",Q63-180)</x:f>
      </x:c>
      <x:c r="U63" s="8"/>
      <x:c r="V63" s="8"/>
      <x:c r="W63" s="8"/>
    </x:row>
    <x:row r="64">
      <x:c r="A64" s="8"/>
      <x:c r="B64" s="9"/>
      <x:c r="C64" s="9"/>
      <x:c r="D64" s="9"/>
      <x:c r="E64" s="9"/>
      <x:c r="F64" s="8"/>
      <x:c r="G64" s="8"/>
      <x:c r="H64" s="10"/>
      <x:c r="I64" s="8"/>
      <x:c r="J64" s="8"/>
      <x:c r="K64" s="8"/>
      <x:c r="L64" s="11" t="str">
        <x:f>IF(E64="","",E64-TODAY())</x:f>
      </x:c>
      <x:c r="M64" s="8" t="str">
        <x:f>IF(E64="","待確認截止日",IF(L64&lt;0,"報名已截止",IF(L64&lt;=7,"7日內截止",IF(L64&lt;=30,"30日內截止","持續追蹤"))))</x:f>
        <x:v>待確認截止日</x:v>
      </x:c>
      <x:c r="N64" s="8"/>
      <x:c r="O64" s="8"/>
      <x:c r="P64" s="9"/>
      <x:c r="Q64" s="9"/>
      <x:c r="R64" s="9"/>
      <x:c r="S64" s="8"/>
      <x:c r="T64" s="9" t="str">
        <x:f>IF(Q64="","",Q64-180)</x:f>
      </x:c>
      <x:c r="U64" s="8"/>
      <x:c r="V64" s="8"/>
      <x:c r="W64" s="8"/>
    </x:row>
    <x:row r="65">
      <x:c r="A65" s="8"/>
      <x:c r="B65" s="9"/>
      <x:c r="C65" s="9"/>
      <x:c r="D65" s="9"/>
      <x:c r="E65" s="9"/>
      <x:c r="F65" s="8"/>
      <x:c r="G65" s="8"/>
      <x:c r="H65" s="10"/>
      <x:c r="I65" s="8"/>
      <x:c r="J65" s="8"/>
      <x:c r="K65" s="8"/>
      <x:c r="L65" s="11" t="str">
        <x:f>IF(E65="","",E65-TODAY())</x:f>
      </x:c>
      <x:c r="M65" s="8" t="str">
        <x:f>IF(E65="","待確認截止日",IF(L65&lt;0,"報名已截止",IF(L65&lt;=7,"7日內截止",IF(L65&lt;=30,"30日內截止","持續追蹤"))))</x:f>
        <x:v>待確認截止日</x:v>
      </x:c>
      <x:c r="N65" s="8"/>
      <x:c r="O65" s="8"/>
      <x:c r="P65" s="9"/>
      <x:c r="Q65" s="9"/>
      <x:c r="R65" s="9"/>
      <x:c r="S65" s="8"/>
      <x:c r="T65" s="9" t="str">
        <x:f>IF(Q65="","",Q65-180)</x:f>
      </x:c>
      <x:c r="U65" s="8"/>
      <x:c r="V65" s="8"/>
      <x:c r="W65" s="8"/>
    </x:row>
    <x:row r="66">
      <x:c r="A66" s="8"/>
      <x:c r="B66" s="9"/>
      <x:c r="C66" s="9"/>
      <x:c r="D66" s="9"/>
      <x:c r="E66" s="9"/>
      <x:c r="F66" s="8"/>
      <x:c r="G66" s="8"/>
      <x:c r="H66" s="10"/>
      <x:c r="I66" s="8"/>
      <x:c r="J66" s="8"/>
      <x:c r="K66" s="8"/>
      <x:c r="L66" s="11" t="str">
        <x:f>IF(E66="","",E66-TODAY())</x:f>
      </x:c>
      <x:c r="M66" s="8" t="str">
        <x:f>IF(E66="","待確認截止日",IF(L66&lt;0,"報名已截止",IF(L66&lt;=7,"7日內截止",IF(L66&lt;=30,"30日內截止","持續追蹤"))))</x:f>
        <x:v>待確認截止日</x:v>
      </x:c>
      <x:c r="N66" s="8"/>
      <x:c r="O66" s="8"/>
      <x:c r="P66" s="9"/>
      <x:c r="Q66" s="9"/>
      <x:c r="R66" s="9"/>
      <x:c r="S66" s="8"/>
      <x:c r="T66" s="9" t="str">
        <x:f>IF(Q66="","",Q66-180)</x:f>
      </x:c>
      <x:c r="U66" s="8"/>
      <x:c r="V66" s="8"/>
      <x:c r="W66" s="8"/>
    </x:row>
    <x:row r="67">
      <x:c r="A67" s="8"/>
      <x:c r="B67" s="9"/>
      <x:c r="C67" s="9"/>
      <x:c r="D67" s="9"/>
      <x:c r="E67" s="9"/>
      <x:c r="F67" s="8"/>
      <x:c r="G67" s="8"/>
      <x:c r="H67" s="10"/>
      <x:c r="I67" s="8"/>
      <x:c r="J67" s="8"/>
      <x:c r="K67" s="8"/>
      <x:c r="L67" s="11" t="str">
        <x:f>IF(E67="","",E67-TODAY())</x:f>
      </x:c>
      <x:c r="M67" s="8" t="str">
        <x:f>IF(E67="","待確認截止日",IF(L67&lt;0,"報名已截止",IF(L67&lt;=7,"7日內截止",IF(L67&lt;=30,"30日內截止","持續追蹤"))))</x:f>
        <x:v>待確認截止日</x:v>
      </x:c>
      <x:c r="N67" s="8"/>
      <x:c r="O67" s="8"/>
      <x:c r="P67" s="9"/>
      <x:c r="Q67" s="9"/>
      <x:c r="R67" s="9"/>
      <x:c r="S67" s="8"/>
      <x:c r="T67" s="9" t="str">
        <x:f>IF(Q67="","",Q67-180)</x:f>
      </x:c>
      <x:c r="U67" s="8"/>
      <x:c r="V67" s="8"/>
      <x:c r="W67" s="8"/>
    </x:row>
    <x:row r="68">
      <x:c r="A68" s="8"/>
      <x:c r="B68" s="9"/>
      <x:c r="C68" s="9"/>
      <x:c r="D68" s="9"/>
      <x:c r="E68" s="9"/>
      <x:c r="F68" s="8"/>
      <x:c r="G68" s="8"/>
      <x:c r="H68" s="10"/>
      <x:c r="I68" s="8"/>
      <x:c r="J68" s="8"/>
      <x:c r="K68" s="8"/>
      <x:c r="L68" s="11" t="str">
        <x:f>IF(E68="","",E68-TODAY())</x:f>
      </x:c>
      <x:c r="M68" s="8" t="str">
        <x:f>IF(E68="","待確認截止日",IF(L68&lt;0,"報名已截止",IF(L68&lt;=7,"7日內截止",IF(L68&lt;=30,"30日內截止","持續追蹤"))))</x:f>
        <x:v>待確認截止日</x:v>
      </x:c>
      <x:c r="N68" s="8"/>
      <x:c r="O68" s="8"/>
      <x:c r="P68" s="9"/>
      <x:c r="Q68" s="9"/>
      <x:c r="R68" s="9"/>
      <x:c r="S68" s="8"/>
      <x:c r="T68" s="9" t="str">
        <x:f>IF(Q68="","",Q68-180)</x:f>
      </x:c>
      <x:c r="U68" s="8"/>
      <x:c r="V68" s="8"/>
      <x:c r="W68" s="8"/>
    </x:row>
    <x:row r="69">
      <x:c r="A69" s="8"/>
      <x:c r="B69" s="9"/>
      <x:c r="C69" s="9"/>
      <x:c r="D69" s="9"/>
      <x:c r="E69" s="9"/>
      <x:c r="F69" s="8"/>
      <x:c r="G69" s="8"/>
      <x:c r="H69" s="10"/>
      <x:c r="I69" s="8"/>
      <x:c r="J69" s="8"/>
      <x:c r="K69" s="8"/>
      <x:c r="L69" s="11" t="str">
        <x:f>IF(E69="","",E69-TODAY())</x:f>
      </x:c>
      <x:c r="M69" s="8" t="str">
        <x:f>IF(E69="","待確認截止日",IF(L69&lt;0,"報名已截止",IF(L69&lt;=7,"7日內截止",IF(L69&lt;=30,"30日內截止","持續追蹤"))))</x:f>
        <x:v>待確認截止日</x:v>
      </x:c>
      <x:c r="N69" s="8"/>
      <x:c r="O69" s="8"/>
      <x:c r="P69" s="9"/>
      <x:c r="Q69" s="9"/>
      <x:c r="R69" s="9"/>
      <x:c r="S69" s="8"/>
      <x:c r="T69" s="9" t="str">
        <x:f>IF(Q69="","",Q69-180)</x:f>
      </x:c>
      <x:c r="U69" s="8"/>
      <x:c r="V69" s="8"/>
      <x:c r="W69" s="8"/>
    </x:row>
    <x:row r="70">
      <x:c r="A70" s="8"/>
      <x:c r="B70" s="9"/>
      <x:c r="C70" s="9"/>
      <x:c r="D70" s="9"/>
      <x:c r="E70" s="9"/>
      <x:c r="F70" s="8"/>
      <x:c r="G70" s="8"/>
      <x:c r="H70" s="10"/>
      <x:c r="I70" s="8"/>
      <x:c r="J70" s="8"/>
      <x:c r="K70" s="8"/>
      <x:c r="L70" s="11" t="str">
        <x:f>IF(E70="","",E70-TODAY())</x:f>
      </x:c>
      <x:c r="M70" s="8" t="str">
        <x:f>IF(E70="","待確認截止日",IF(L70&lt;0,"報名已截止",IF(L70&lt;=7,"7日內截止",IF(L70&lt;=30,"30日內截止","持續追蹤"))))</x:f>
        <x:v>待確認截止日</x:v>
      </x:c>
      <x:c r="N70" s="8"/>
      <x:c r="O70" s="8"/>
      <x:c r="P70" s="9"/>
      <x:c r="Q70" s="9"/>
      <x:c r="R70" s="9"/>
      <x:c r="S70" s="8"/>
      <x:c r="T70" s="9" t="str">
        <x:f>IF(Q70="","",Q70-180)</x:f>
      </x:c>
      <x:c r="U70" s="8"/>
      <x:c r="V70" s="8"/>
      <x:c r="W70" s="8"/>
    </x:row>
    <x:row r="71">
      <x:c r="A71" s="8"/>
      <x:c r="B71" s="9"/>
      <x:c r="C71" s="9"/>
      <x:c r="D71" s="9"/>
      <x:c r="E71" s="9"/>
      <x:c r="F71" s="8"/>
      <x:c r="G71" s="8"/>
      <x:c r="H71" s="10"/>
      <x:c r="I71" s="8"/>
      <x:c r="J71" s="8"/>
      <x:c r="K71" s="8"/>
      <x:c r="L71" s="11" t="str">
        <x:f>IF(E71="","",E71-TODAY())</x:f>
      </x:c>
      <x:c r="M71" s="8" t="str">
        <x:f>IF(E71="","待確認截止日",IF(L71&lt;0,"報名已截止",IF(L71&lt;=7,"7日內截止",IF(L71&lt;=30,"30日內截止","持續追蹤"))))</x:f>
        <x:v>待確認截止日</x:v>
      </x:c>
      <x:c r="N71" s="8"/>
      <x:c r="O71" s="8"/>
      <x:c r="P71" s="9"/>
      <x:c r="Q71" s="9"/>
      <x:c r="R71" s="9"/>
      <x:c r="S71" s="8"/>
      <x:c r="T71" s="9" t="str">
        <x:f>IF(Q71="","",Q71-180)</x:f>
      </x:c>
      <x:c r="U71" s="8"/>
      <x:c r="V71" s="8"/>
      <x:c r="W71" s="8"/>
    </x:row>
    <x:row r="72">
      <x:c r="A72" s="8"/>
      <x:c r="B72" s="9"/>
      <x:c r="C72" s="9"/>
      <x:c r="D72" s="9"/>
      <x:c r="E72" s="9"/>
      <x:c r="F72" s="8"/>
      <x:c r="G72" s="8"/>
      <x:c r="H72" s="10"/>
      <x:c r="I72" s="8"/>
      <x:c r="J72" s="8"/>
      <x:c r="K72" s="8"/>
      <x:c r="L72" s="11" t="str">
        <x:f>IF(E72="","",E72-TODAY())</x:f>
      </x:c>
      <x:c r="M72" s="8" t="str">
        <x:f>IF(E72="","待確認截止日",IF(L72&lt;0,"報名已截止",IF(L72&lt;=7,"7日內截止",IF(L72&lt;=30,"30日內截止","持續追蹤"))))</x:f>
        <x:v>待確認截止日</x:v>
      </x:c>
      <x:c r="N72" s="8"/>
      <x:c r="O72" s="8"/>
      <x:c r="P72" s="9"/>
      <x:c r="Q72" s="9"/>
      <x:c r="R72" s="9"/>
      <x:c r="S72" s="8"/>
      <x:c r="T72" s="9" t="str">
        <x:f>IF(Q72="","",Q72-180)</x:f>
      </x:c>
      <x:c r="U72" s="8"/>
      <x:c r="V72" s="8"/>
      <x:c r="W72" s="8"/>
    </x:row>
    <x:row r="73">
      <x:c r="A73" s="8"/>
      <x:c r="B73" s="9"/>
      <x:c r="C73" s="9"/>
      <x:c r="D73" s="9"/>
      <x:c r="E73" s="9"/>
      <x:c r="F73" s="8"/>
      <x:c r="G73" s="8"/>
      <x:c r="H73" s="10"/>
      <x:c r="I73" s="8"/>
      <x:c r="J73" s="8"/>
      <x:c r="K73" s="8"/>
      <x:c r="L73" s="11" t="str">
        <x:f>IF(E73="","",E73-TODAY())</x:f>
      </x:c>
      <x:c r="M73" s="8" t="str">
        <x:f>IF(E73="","待確認截止日",IF(L73&lt;0,"報名已截止",IF(L73&lt;=7,"7日內截止",IF(L73&lt;=30,"30日內截止","持續追蹤"))))</x:f>
        <x:v>待確認截止日</x:v>
      </x:c>
      <x:c r="N73" s="8"/>
      <x:c r="O73" s="8"/>
      <x:c r="P73" s="9"/>
      <x:c r="Q73" s="9"/>
      <x:c r="R73" s="9"/>
      <x:c r="S73" s="8"/>
      <x:c r="T73" s="9" t="str">
        <x:f>IF(Q73="","",Q73-180)</x:f>
      </x:c>
      <x:c r="U73" s="8"/>
      <x:c r="V73" s="8"/>
      <x:c r="W73" s="8"/>
    </x:row>
    <x:row r="74">
      <x:c r="A74" s="8"/>
      <x:c r="B74" s="9"/>
      <x:c r="C74" s="9"/>
      <x:c r="D74" s="9"/>
      <x:c r="E74" s="9"/>
      <x:c r="F74" s="8"/>
      <x:c r="G74" s="8"/>
      <x:c r="H74" s="10"/>
      <x:c r="I74" s="8"/>
      <x:c r="J74" s="8"/>
      <x:c r="K74" s="8"/>
      <x:c r="L74" s="11" t="str">
        <x:f>IF(E74="","",E74-TODAY())</x:f>
      </x:c>
      <x:c r="M74" s="8" t="str">
        <x:f>IF(E74="","待確認截止日",IF(L74&lt;0,"報名已截止",IF(L74&lt;=7,"7日內截止",IF(L74&lt;=30,"30日內截止","持續追蹤"))))</x:f>
        <x:v>待確認截止日</x:v>
      </x:c>
      <x:c r="N74" s="8"/>
      <x:c r="O74" s="8"/>
      <x:c r="P74" s="9"/>
      <x:c r="Q74" s="9"/>
      <x:c r="R74" s="9"/>
      <x:c r="S74" s="8"/>
      <x:c r="T74" s="9" t="str">
        <x:f>IF(Q74="","",Q74-180)</x:f>
      </x:c>
      <x:c r="U74" s="8"/>
      <x:c r="V74" s="8"/>
      <x:c r="W74" s="8"/>
    </x:row>
    <x:row r="75">
      <x:c r="A75" s="8"/>
      <x:c r="B75" s="9"/>
      <x:c r="C75" s="9"/>
      <x:c r="D75" s="9"/>
      <x:c r="E75" s="9"/>
      <x:c r="F75" s="8"/>
      <x:c r="G75" s="8"/>
      <x:c r="H75" s="10"/>
      <x:c r="I75" s="8"/>
      <x:c r="J75" s="8"/>
      <x:c r="K75" s="8"/>
      <x:c r="L75" s="11" t="str">
        <x:f>IF(E75="","",E75-TODAY())</x:f>
      </x:c>
      <x:c r="M75" s="8" t="str">
        <x:f>IF(E75="","待確認截止日",IF(L75&lt;0,"報名已截止",IF(L75&lt;=7,"7日內截止",IF(L75&lt;=30,"30日內截止","持續追蹤"))))</x:f>
        <x:v>待確認截止日</x:v>
      </x:c>
      <x:c r="N75" s="8"/>
      <x:c r="O75" s="8"/>
      <x:c r="P75" s="9"/>
      <x:c r="Q75" s="9"/>
      <x:c r="R75" s="9"/>
      <x:c r="S75" s="8"/>
      <x:c r="T75" s="9" t="str">
        <x:f>IF(Q75="","",Q75-180)</x:f>
      </x:c>
      <x:c r="U75" s="8"/>
      <x:c r="V75" s="8"/>
      <x:c r="W75" s="8"/>
    </x:row>
    <x:row r="76">
      <x:c r="A76" s="8"/>
      <x:c r="B76" s="9"/>
      <x:c r="C76" s="9"/>
      <x:c r="D76" s="9"/>
      <x:c r="E76" s="9"/>
      <x:c r="F76" s="8"/>
      <x:c r="G76" s="8"/>
      <x:c r="H76" s="10"/>
      <x:c r="I76" s="8"/>
      <x:c r="J76" s="8"/>
      <x:c r="K76" s="8"/>
      <x:c r="L76" s="11" t="str">
        <x:f>IF(E76="","",E76-TODAY())</x:f>
      </x:c>
      <x:c r="M76" s="8" t="str">
        <x:f>IF(E76="","待確認截止日",IF(L76&lt;0,"報名已截止",IF(L76&lt;=7,"7日內截止",IF(L76&lt;=30,"30日內截止","持續追蹤"))))</x:f>
        <x:v>待確認截止日</x:v>
      </x:c>
      <x:c r="N76" s="8"/>
      <x:c r="O76" s="8"/>
      <x:c r="P76" s="9"/>
      <x:c r="Q76" s="9"/>
      <x:c r="R76" s="9"/>
      <x:c r="S76" s="8"/>
      <x:c r="T76" s="9" t="str">
        <x:f>IF(Q76="","",Q76-180)</x:f>
      </x:c>
      <x:c r="U76" s="8"/>
      <x:c r="V76" s="8"/>
      <x:c r="W76" s="8"/>
    </x:row>
    <x:row r="77">
      <x:c r="A77" s="8"/>
      <x:c r="B77" s="9"/>
      <x:c r="C77" s="9"/>
      <x:c r="D77" s="9"/>
      <x:c r="E77" s="9"/>
      <x:c r="F77" s="8"/>
      <x:c r="G77" s="8"/>
      <x:c r="H77" s="10"/>
      <x:c r="I77" s="8"/>
      <x:c r="J77" s="8"/>
      <x:c r="K77" s="8"/>
      <x:c r="L77" s="11" t="str">
        <x:f>IF(E77="","",E77-TODAY())</x:f>
      </x:c>
      <x:c r="M77" s="8" t="str">
        <x:f>IF(E77="","待確認截止日",IF(L77&lt;0,"報名已截止",IF(L77&lt;=7,"7日內截止",IF(L77&lt;=30,"30日內截止","持續追蹤"))))</x:f>
        <x:v>待確認截止日</x:v>
      </x:c>
      <x:c r="N77" s="8"/>
      <x:c r="O77" s="8"/>
      <x:c r="P77" s="9"/>
      <x:c r="Q77" s="9"/>
      <x:c r="R77" s="9"/>
      <x:c r="S77" s="8"/>
      <x:c r="T77" s="9" t="str">
        <x:f>IF(Q77="","",Q77-180)</x:f>
      </x:c>
      <x:c r="U77" s="8"/>
      <x:c r="V77" s="8"/>
      <x:c r="W77" s="8"/>
    </x:row>
    <x:row r="78">
      <x:c r="A78" s="8"/>
      <x:c r="B78" s="9"/>
      <x:c r="C78" s="9"/>
      <x:c r="D78" s="9"/>
      <x:c r="E78" s="9"/>
      <x:c r="F78" s="8"/>
      <x:c r="G78" s="8"/>
      <x:c r="H78" s="10"/>
      <x:c r="I78" s="8"/>
      <x:c r="J78" s="8"/>
      <x:c r="K78" s="8"/>
      <x:c r="L78" s="11" t="str">
        <x:f>IF(E78="","",E78-TODAY())</x:f>
      </x:c>
      <x:c r="M78" s="8" t="str">
        <x:f>IF(E78="","待確認截止日",IF(L78&lt;0,"報名已截止",IF(L78&lt;=7,"7日內截止",IF(L78&lt;=30,"30日內截止","持續追蹤"))))</x:f>
        <x:v>待確認截止日</x:v>
      </x:c>
      <x:c r="N78" s="8"/>
      <x:c r="O78" s="8"/>
      <x:c r="P78" s="9"/>
      <x:c r="Q78" s="9"/>
      <x:c r="R78" s="9"/>
      <x:c r="S78" s="8"/>
      <x:c r="T78" s="9" t="str">
        <x:f>IF(Q78="","",Q78-180)</x:f>
      </x:c>
      <x:c r="U78" s="8"/>
      <x:c r="V78" s="8"/>
      <x:c r="W78" s="8"/>
    </x:row>
    <x:row r="79">
      <x:c r="A79" s="8"/>
      <x:c r="B79" s="9"/>
      <x:c r="C79" s="9"/>
      <x:c r="D79" s="9"/>
      <x:c r="E79" s="9"/>
      <x:c r="F79" s="8"/>
      <x:c r="G79" s="8"/>
      <x:c r="H79" s="10"/>
      <x:c r="I79" s="8"/>
      <x:c r="J79" s="8"/>
      <x:c r="K79" s="8"/>
      <x:c r="L79" s="11" t="str">
        <x:f>IF(E79="","",E79-TODAY())</x:f>
      </x:c>
      <x:c r="M79" s="8" t="str">
        <x:f>IF(E79="","待確認截止日",IF(L79&lt;0,"報名已截止",IF(L79&lt;=7,"7日內截止",IF(L79&lt;=30,"30日內截止","持續追蹤"))))</x:f>
        <x:v>待確認截止日</x:v>
      </x:c>
      <x:c r="N79" s="8"/>
      <x:c r="O79" s="8"/>
      <x:c r="P79" s="9"/>
      <x:c r="Q79" s="9"/>
      <x:c r="R79" s="9"/>
      <x:c r="S79" s="8"/>
      <x:c r="T79" s="9" t="str">
        <x:f>IF(Q79="","",Q79-180)</x:f>
      </x:c>
      <x:c r="U79" s="8"/>
      <x:c r="V79" s="8"/>
      <x:c r="W79" s="8"/>
    </x:row>
    <x:row r="80">
      <x:c r="A80" s="8"/>
      <x:c r="B80" s="9"/>
      <x:c r="C80" s="9"/>
      <x:c r="D80" s="9"/>
      <x:c r="E80" s="9"/>
      <x:c r="F80" s="8"/>
      <x:c r="G80" s="8"/>
      <x:c r="H80" s="10"/>
      <x:c r="I80" s="8"/>
      <x:c r="J80" s="8"/>
      <x:c r="K80" s="8"/>
      <x:c r="L80" s="11" t="str">
        <x:f>IF(E80="","",E80-TODAY())</x:f>
      </x:c>
      <x:c r="M80" s="8" t="str">
        <x:f>IF(E80="","待確認截止日",IF(L80&lt;0,"報名已截止",IF(L80&lt;=7,"7日內截止",IF(L80&lt;=30,"30日內截止","持續追蹤"))))</x:f>
        <x:v>待確認截止日</x:v>
      </x:c>
      <x:c r="N80" s="8"/>
      <x:c r="O80" s="8"/>
      <x:c r="P80" s="9"/>
      <x:c r="Q80" s="9"/>
      <x:c r="R80" s="9"/>
      <x:c r="S80" s="8"/>
      <x:c r="T80" s="9" t="str">
        <x:f>IF(Q80="","",Q80-180)</x:f>
      </x:c>
      <x:c r="U80" s="8"/>
      <x:c r="V80" s="8"/>
      <x:c r="W80" s="8"/>
    </x:row>
    <x:row r="81">
      <x:c r="A81" s="8"/>
      <x:c r="B81" s="9"/>
      <x:c r="C81" s="9"/>
      <x:c r="D81" s="9"/>
      <x:c r="E81" s="9"/>
      <x:c r="F81" s="8"/>
      <x:c r="G81" s="8"/>
      <x:c r="H81" s="10"/>
      <x:c r="I81" s="8"/>
      <x:c r="J81" s="8"/>
      <x:c r="K81" s="8"/>
      <x:c r="L81" s="11" t="str">
        <x:f>IF(E81="","",E81-TODAY())</x:f>
      </x:c>
      <x:c r="M81" s="8" t="str">
        <x:f>IF(E81="","待確認截止日",IF(L81&lt;0,"報名已截止",IF(L81&lt;=7,"7日內截止",IF(L81&lt;=30,"30日內截止","持續追蹤"))))</x:f>
        <x:v>待確認截止日</x:v>
      </x:c>
      <x:c r="N81" s="8"/>
      <x:c r="O81" s="8"/>
      <x:c r="P81" s="9"/>
      <x:c r="Q81" s="9"/>
      <x:c r="R81" s="9"/>
      <x:c r="S81" s="8"/>
      <x:c r="T81" s="9" t="str">
        <x:f>IF(Q81="","",Q81-180)</x:f>
      </x:c>
      <x:c r="U81" s="8"/>
      <x:c r="V81" s="8"/>
      <x:c r="W81" s="8"/>
    </x:row>
    <x:row r="82">
      <x:c r="A82" s="8"/>
      <x:c r="B82" s="9"/>
      <x:c r="C82" s="9"/>
      <x:c r="D82" s="9"/>
      <x:c r="E82" s="9"/>
      <x:c r="F82" s="8"/>
      <x:c r="G82" s="8"/>
      <x:c r="H82" s="10"/>
      <x:c r="I82" s="8"/>
      <x:c r="J82" s="8"/>
      <x:c r="K82" s="8"/>
      <x:c r="L82" s="11" t="str">
        <x:f>IF(E82="","",E82-TODAY())</x:f>
      </x:c>
      <x:c r="M82" s="8" t="str">
        <x:f>IF(E82="","待確認截止日",IF(L82&lt;0,"報名已截止",IF(L82&lt;=7,"7日內截止",IF(L82&lt;=30,"30日內截止","持續追蹤"))))</x:f>
        <x:v>待確認截止日</x:v>
      </x:c>
      <x:c r="N82" s="8"/>
      <x:c r="O82" s="8"/>
      <x:c r="P82" s="9"/>
      <x:c r="Q82" s="9"/>
      <x:c r="R82" s="9"/>
      <x:c r="S82" s="8"/>
      <x:c r="T82" s="9" t="str">
        <x:f>IF(Q82="","",Q82-180)</x:f>
      </x:c>
      <x:c r="U82" s="8"/>
      <x:c r="V82" s="8"/>
      <x:c r="W82" s="8"/>
    </x:row>
    <x:row r="83">
      <x:c r="A83" s="8"/>
      <x:c r="B83" s="9"/>
      <x:c r="C83" s="9"/>
      <x:c r="D83" s="9"/>
      <x:c r="E83" s="9"/>
      <x:c r="F83" s="8"/>
      <x:c r="G83" s="8"/>
      <x:c r="H83" s="10"/>
      <x:c r="I83" s="8"/>
      <x:c r="J83" s="8"/>
      <x:c r="K83" s="8"/>
      <x:c r="L83" s="11" t="str">
        <x:f>IF(E83="","",E83-TODAY())</x:f>
      </x:c>
      <x:c r="M83" s="8" t="str">
        <x:f>IF(E83="","待確認截止日",IF(L83&lt;0,"報名已截止",IF(L83&lt;=7,"7日內截止",IF(L83&lt;=30,"30日內截止","持續追蹤"))))</x:f>
        <x:v>待確認截止日</x:v>
      </x:c>
      <x:c r="N83" s="8"/>
      <x:c r="O83" s="8"/>
      <x:c r="P83" s="9"/>
      <x:c r="Q83" s="9"/>
      <x:c r="R83" s="9"/>
      <x:c r="S83" s="8"/>
      <x:c r="T83" s="9" t="str">
        <x:f>IF(Q83="","",Q83-180)</x:f>
      </x:c>
      <x:c r="U83" s="8"/>
      <x:c r="V83" s="8"/>
      <x:c r="W83" s="8"/>
    </x:row>
    <x:row r="84">
      <x:c r="A84" s="8"/>
      <x:c r="B84" s="9"/>
      <x:c r="C84" s="9"/>
      <x:c r="D84" s="9"/>
      <x:c r="E84" s="9"/>
      <x:c r="F84" s="8"/>
      <x:c r="G84" s="8"/>
      <x:c r="H84" s="10"/>
      <x:c r="I84" s="8"/>
      <x:c r="J84" s="8"/>
      <x:c r="K84" s="8"/>
      <x:c r="L84" s="11" t="str">
        <x:f>IF(E84="","",E84-TODAY())</x:f>
      </x:c>
      <x:c r="M84" s="8" t="str">
        <x:f>IF(E84="","待確認截止日",IF(L84&lt;0,"報名已截止",IF(L84&lt;=7,"7日內截止",IF(L84&lt;=30,"30日內截止","持續追蹤"))))</x:f>
        <x:v>待確認截止日</x:v>
      </x:c>
      <x:c r="N84" s="8"/>
      <x:c r="O84" s="8"/>
      <x:c r="P84" s="9"/>
      <x:c r="Q84" s="9"/>
      <x:c r="R84" s="9"/>
      <x:c r="S84" s="8"/>
      <x:c r="T84" s="9" t="str">
        <x:f>IF(Q84="","",Q84-180)</x:f>
      </x:c>
      <x:c r="U84" s="8"/>
      <x:c r="V84" s="8"/>
      <x:c r="W84" s="8"/>
    </x:row>
    <x:row r="85">
      <x:c r="A85" s="8"/>
      <x:c r="B85" s="9"/>
      <x:c r="C85" s="9"/>
      <x:c r="D85" s="9"/>
      <x:c r="E85" s="9"/>
      <x:c r="F85" s="8"/>
      <x:c r="G85" s="8"/>
      <x:c r="H85" s="10"/>
      <x:c r="I85" s="8"/>
      <x:c r="J85" s="8"/>
      <x:c r="K85" s="8"/>
      <x:c r="L85" s="11" t="str">
        <x:f>IF(E85="","",E85-TODAY())</x:f>
      </x:c>
      <x:c r="M85" s="8" t="str">
        <x:f>IF(E85="","待確認截止日",IF(L85&lt;0,"報名已截止",IF(L85&lt;=7,"7日內截止",IF(L85&lt;=30,"30日內截止","持續追蹤"))))</x:f>
        <x:v>待確認截止日</x:v>
      </x:c>
      <x:c r="N85" s="8"/>
      <x:c r="O85" s="8"/>
      <x:c r="P85" s="9"/>
      <x:c r="Q85" s="9"/>
      <x:c r="R85" s="9"/>
      <x:c r="S85" s="8"/>
      <x:c r="T85" s="9" t="str">
        <x:f>IF(Q85="","",Q85-180)</x:f>
      </x:c>
      <x:c r="U85" s="8"/>
      <x:c r="V85" s="8"/>
      <x:c r="W85" s="8"/>
    </x:row>
    <x:row r="86">
      <x:c r="A86" s="8"/>
      <x:c r="B86" s="9"/>
      <x:c r="C86" s="9"/>
      <x:c r="D86" s="9"/>
      <x:c r="E86" s="9"/>
      <x:c r="F86" s="8"/>
      <x:c r="G86" s="8"/>
      <x:c r="H86" s="10"/>
      <x:c r="I86" s="8"/>
      <x:c r="J86" s="8"/>
      <x:c r="K86" s="8"/>
      <x:c r="L86" s="11" t="str">
        <x:f>IF(E86="","",E86-TODAY())</x:f>
      </x:c>
      <x:c r="M86" s="8" t="str">
        <x:f>IF(E86="","待確認截止日",IF(L86&lt;0,"報名已截止",IF(L86&lt;=7,"7日內截止",IF(L86&lt;=30,"30日內截止","持續追蹤"))))</x:f>
        <x:v>待確認截止日</x:v>
      </x:c>
      <x:c r="N86" s="8"/>
      <x:c r="O86" s="8"/>
      <x:c r="P86" s="9"/>
      <x:c r="Q86" s="9"/>
      <x:c r="R86" s="9"/>
      <x:c r="S86" s="8"/>
      <x:c r="T86" s="9" t="str">
        <x:f>IF(Q86="","",Q86-180)</x:f>
      </x:c>
      <x:c r="U86" s="8"/>
      <x:c r="V86" s="8"/>
      <x:c r="W86" s="8"/>
    </x:row>
    <x:row r="87">
      <x:c r="A87" s="8"/>
      <x:c r="B87" s="9"/>
      <x:c r="C87" s="9"/>
      <x:c r="D87" s="9"/>
      <x:c r="E87" s="9"/>
      <x:c r="F87" s="8"/>
      <x:c r="G87" s="8"/>
      <x:c r="H87" s="10"/>
      <x:c r="I87" s="8"/>
      <x:c r="J87" s="8"/>
      <x:c r="K87" s="8"/>
      <x:c r="L87" s="11" t="str">
        <x:f>IF(E87="","",E87-TODAY())</x:f>
      </x:c>
      <x:c r="M87" s="8" t="str">
        <x:f>IF(E87="","待確認截止日",IF(L87&lt;0,"報名已截止",IF(L87&lt;=7,"7日內截止",IF(L87&lt;=30,"30日內截止","持續追蹤"))))</x:f>
        <x:v>待確認截止日</x:v>
      </x:c>
      <x:c r="N87" s="8"/>
      <x:c r="O87" s="8"/>
      <x:c r="P87" s="9"/>
      <x:c r="Q87" s="9"/>
      <x:c r="R87" s="9"/>
      <x:c r="S87" s="8"/>
      <x:c r="T87" s="9" t="str">
        <x:f>IF(Q87="","",Q87-180)</x:f>
      </x:c>
      <x:c r="U87" s="8"/>
      <x:c r="V87" s="8"/>
      <x:c r="W87" s="8"/>
    </x:row>
    <x:row r="88">
      <x:c r="A88" s="8"/>
      <x:c r="B88" s="9"/>
      <x:c r="C88" s="9"/>
      <x:c r="D88" s="9"/>
      <x:c r="E88" s="9"/>
      <x:c r="F88" s="8"/>
      <x:c r="G88" s="8"/>
      <x:c r="H88" s="10"/>
      <x:c r="I88" s="8"/>
      <x:c r="J88" s="8"/>
      <x:c r="K88" s="8"/>
      <x:c r="L88" s="11" t="str">
        <x:f>IF(E88="","",E88-TODAY())</x:f>
      </x:c>
      <x:c r="M88" s="8" t="str">
        <x:f>IF(E88="","待確認截止日",IF(L88&lt;0,"報名已截止",IF(L88&lt;=7,"7日內截止",IF(L88&lt;=30,"30日內截止","持續追蹤"))))</x:f>
        <x:v>待確認截止日</x:v>
      </x:c>
      <x:c r="N88" s="8"/>
      <x:c r="O88" s="8"/>
      <x:c r="P88" s="9"/>
      <x:c r="Q88" s="9"/>
      <x:c r="R88" s="9"/>
      <x:c r="S88" s="8"/>
      <x:c r="T88" s="9" t="str">
        <x:f>IF(Q88="","",Q88-180)</x:f>
      </x:c>
      <x:c r="U88" s="8"/>
      <x:c r="V88" s="8"/>
      <x:c r="W88" s="8"/>
    </x:row>
    <x:row r="89">
      <x:c r="A89" s="8"/>
      <x:c r="B89" s="9"/>
      <x:c r="C89" s="9"/>
      <x:c r="D89" s="9"/>
      <x:c r="E89" s="9"/>
      <x:c r="F89" s="8"/>
      <x:c r="G89" s="8"/>
      <x:c r="H89" s="10"/>
      <x:c r="I89" s="8"/>
      <x:c r="J89" s="8"/>
      <x:c r="K89" s="8"/>
      <x:c r="L89" s="11" t="str">
        <x:f>IF(E89="","",E89-TODAY())</x:f>
      </x:c>
      <x:c r="M89" s="8" t="str">
        <x:f>IF(E89="","待確認截止日",IF(L89&lt;0,"報名已截止",IF(L89&lt;=7,"7日內截止",IF(L89&lt;=30,"30日內截止","持續追蹤"))))</x:f>
        <x:v>待確認截止日</x:v>
      </x:c>
      <x:c r="N89" s="8"/>
      <x:c r="O89" s="8"/>
      <x:c r="P89" s="9"/>
      <x:c r="Q89" s="9"/>
      <x:c r="R89" s="9"/>
      <x:c r="S89" s="8"/>
      <x:c r="T89" s="9" t="str">
        <x:f>IF(Q89="","",Q89-180)</x:f>
      </x:c>
      <x:c r="U89" s="8"/>
      <x:c r="V89" s="8"/>
      <x:c r="W89" s="8"/>
    </x:row>
    <x:row r="90">
      <x:c r="A90" s="8"/>
      <x:c r="B90" s="9"/>
      <x:c r="C90" s="9"/>
      <x:c r="D90" s="9"/>
      <x:c r="E90" s="9"/>
      <x:c r="F90" s="8"/>
      <x:c r="G90" s="8"/>
      <x:c r="H90" s="10"/>
      <x:c r="I90" s="8"/>
      <x:c r="J90" s="8"/>
      <x:c r="K90" s="8"/>
      <x:c r="L90" s="11" t="str">
        <x:f>IF(E90="","",E90-TODAY())</x:f>
      </x:c>
      <x:c r="M90" s="8" t="str">
        <x:f>IF(E90="","待確認截止日",IF(L90&lt;0,"報名已截止",IF(L90&lt;=7,"7日內截止",IF(L90&lt;=30,"30日內截止","持續追蹤"))))</x:f>
        <x:v>待確認截止日</x:v>
      </x:c>
      <x:c r="N90" s="8"/>
      <x:c r="O90" s="8"/>
      <x:c r="P90" s="9"/>
      <x:c r="Q90" s="9"/>
      <x:c r="R90" s="9"/>
      <x:c r="S90" s="8"/>
      <x:c r="T90" s="9" t="str">
        <x:f>IF(Q90="","",Q90-180)</x:f>
      </x:c>
      <x:c r="U90" s="8"/>
      <x:c r="V90" s="8"/>
      <x:c r="W90" s="8"/>
    </x:row>
    <x:row r="91">
      <x:c r="A91" s="8"/>
      <x:c r="B91" s="9"/>
      <x:c r="C91" s="9"/>
      <x:c r="D91" s="9"/>
      <x:c r="E91" s="9"/>
      <x:c r="F91" s="8"/>
      <x:c r="G91" s="8"/>
      <x:c r="H91" s="10"/>
      <x:c r="I91" s="8"/>
      <x:c r="J91" s="8"/>
      <x:c r="K91" s="8"/>
      <x:c r="L91" s="11" t="str">
        <x:f>IF(E91="","",E91-TODAY())</x:f>
      </x:c>
      <x:c r="M91" s="8" t="str">
        <x:f>IF(E91="","待確認截止日",IF(L91&lt;0,"報名已截止",IF(L91&lt;=7,"7日內截止",IF(L91&lt;=30,"30日內截止","持續追蹤"))))</x:f>
        <x:v>待確認截止日</x:v>
      </x:c>
      <x:c r="N91" s="8"/>
      <x:c r="O91" s="8"/>
      <x:c r="P91" s="9"/>
      <x:c r="Q91" s="9"/>
      <x:c r="R91" s="9"/>
      <x:c r="S91" s="8"/>
      <x:c r="T91" s="9" t="str">
        <x:f>IF(Q91="","",Q91-180)</x:f>
      </x:c>
      <x:c r="U91" s="8"/>
      <x:c r="V91" s="8"/>
      <x:c r="W91" s="8"/>
    </x:row>
    <x:row r="92">
      <x:c r="A92" s="8"/>
      <x:c r="B92" s="9"/>
      <x:c r="C92" s="9"/>
      <x:c r="D92" s="9"/>
      <x:c r="E92" s="9"/>
      <x:c r="F92" s="8"/>
      <x:c r="G92" s="8"/>
      <x:c r="H92" s="10"/>
      <x:c r="I92" s="8"/>
      <x:c r="J92" s="8"/>
      <x:c r="K92" s="8"/>
      <x:c r="L92" s="11" t="str">
        <x:f>IF(E92="","",E92-TODAY())</x:f>
      </x:c>
      <x:c r="M92" s="8" t="str">
        <x:f>IF(E92="","待確認截止日",IF(L92&lt;0,"報名已截止",IF(L92&lt;=7,"7日內截止",IF(L92&lt;=30,"30日內截止","持續追蹤"))))</x:f>
        <x:v>待確認截止日</x:v>
      </x:c>
      <x:c r="N92" s="8"/>
      <x:c r="O92" s="8"/>
      <x:c r="P92" s="9"/>
      <x:c r="Q92" s="9"/>
      <x:c r="R92" s="9"/>
      <x:c r="S92" s="8"/>
      <x:c r="T92" s="9" t="str">
        <x:f>IF(Q92="","",Q92-180)</x:f>
      </x:c>
      <x:c r="U92" s="8"/>
      <x:c r="V92" s="8"/>
      <x:c r="W92" s="8"/>
    </x:row>
    <x:row r="93">
      <x:c r="A93" s="8"/>
      <x:c r="B93" s="9"/>
      <x:c r="C93" s="9"/>
      <x:c r="D93" s="9"/>
      <x:c r="E93" s="9"/>
      <x:c r="F93" s="8"/>
      <x:c r="G93" s="8"/>
      <x:c r="H93" s="10"/>
      <x:c r="I93" s="8"/>
      <x:c r="J93" s="8"/>
      <x:c r="K93" s="8"/>
      <x:c r="L93" s="11" t="str">
        <x:f>IF(E93="","",E93-TODAY())</x:f>
      </x:c>
      <x:c r="M93" s="8" t="str">
        <x:f>IF(E93="","待確認截止日",IF(L93&lt;0,"報名已截止",IF(L93&lt;=7,"7日內截止",IF(L93&lt;=30,"30日內截止","持續追蹤"))))</x:f>
        <x:v>待確認截止日</x:v>
      </x:c>
      <x:c r="N93" s="8"/>
      <x:c r="O93" s="8"/>
      <x:c r="P93" s="9"/>
      <x:c r="Q93" s="9"/>
      <x:c r="R93" s="9"/>
      <x:c r="S93" s="8"/>
      <x:c r="T93" s="9" t="str">
        <x:f>IF(Q93="","",Q93-180)</x:f>
      </x:c>
      <x:c r="U93" s="8"/>
      <x:c r="V93" s="8"/>
      <x:c r="W93" s="8"/>
    </x:row>
    <x:row r="94">
      <x:c r="A94" s="8"/>
      <x:c r="B94" s="9"/>
      <x:c r="C94" s="9"/>
      <x:c r="D94" s="9"/>
      <x:c r="E94" s="9"/>
      <x:c r="F94" s="8"/>
      <x:c r="G94" s="8"/>
      <x:c r="H94" s="10"/>
      <x:c r="I94" s="8"/>
      <x:c r="J94" s="8"/>
      <x:c r="K94" s="8"/>
      <x:c r="L94" s="11" t="str">
        <x:f>IF(E94="","",E94-TODAY())</x:f>
      </x:c>
      <x:c r="M94" s="8" t="str">
        <x:f>IF(E94="","待確認截止日",IF(L94&lt;0,"報名已截止",IF(L94&lt;=7,"7日內截止",IF(L94&lt;=30,"30日內截止","持續追蹤"))))</x:f>
        <x:v>待確認截止日</x:v>
      </x:c>
      <x:c r="N94" s="8"/>
      <x:c r="O94" s="8"/>
      <x:c r="P94" s="9"/>
      <x:c r="Q94" s="9"/>
      <x:c r="R94" s="9"/>
      <x:c r="S94" s="8"/>
      <x:c r="T94" s="9" t="str">
        <x:f>IF(Q94="","",Q94-180)</x:f>
      </x:c>
      <x:c r="U94" s="8"/>
      <x:c r="V94" s="8"/>
      <x:c r="W94" s="8"/>
    </x:row>
    <x:row r="95">
      <x:c r="A95" s="8"/>
      <x:c r="B95" s="9"/>
      <x:c r="C95" s="9"/>
      <x:c r="D95" s="9"/>
      <x:c r="E95" s="9"/>
      <x:c r="F95" s="8"/>
      <x:c r="G95" s="8"/>
      <x:c r="H95" s="10"/>
      <x:c r="I95" s="8"/>
      <x:c r="J95" s="8"/>
      <x:c r="K95" s="8"/>
      <x:c r="L95" s="11" t="str">
        <x:f>IF(E95="","",E95-TODAY())</x:f>
      </x:c>
      <x:c r="M95" s="8" t="str">
        <x:f>IF(E95="","待確認截止日",IF(L95&lt;0,"報名已截止",IF(L95&lt;=7,"7日內截止",IF(L95&lt;=30,"30日內截止","持續追蹤"))))</x:f>
        <x:v>待確認截止日</x:v>
      </x:c>
      <x:c r="N95" s="8"/>
      <x:c r="O95" s="8"/>
      <x:c r="P95" s="9"/>
      <x:c r="Q95" s="9"/>
      <x:c r="R95" s="9"/>
      <x:c r="S95" s="8"/>
      <x:c r="T95" s="9" t="str">
        <x:f>IF(Q95="","",Q95-180)</x:f>
      </x:c>
      <x:c r="U95" s="8"/>
      <x:c r="V95" s="8"/>
      <x:c r="W95" s="8"/>
    </x:row>
    <x:row r="96">
      <x:c r="A96" s="8"/>
      <x:c r="B96" s="9"/>
      <x:c r="C96" s="9"/>
      <x:c r="D96" s="9"/>
      <x:c r="E96" s="9"/>
      <x:c r="F96" s="8"/>
      <x:c r="G96" s="8"/>
      <x:c r="H96" s="10"/>
      <x:c r="I96" s="8"/>
      <x:c r="J96" s="8"/>
      <x:c r="K96" s="8"/>
      <x:c r="L96" s="11" t="str">
        <x:f>IF(E96="","",E96-TODAY())</x:f>
      </x:c>
      <x:c r="M96" s="8" t="str">
        <x:f>IF(E96="","待確認截止日",IF(L96&lt;0,"報名已截止",IF(L96&lt;=7,"7日內截止",IF(L96&lt;=30,"30日內截止","持續追蹤"))))</x:f>
        <x:v>待確認截止日</x:v>
      </x:c>
      <x:c r="N96" s="8"/>
      <x:c r="O96" s="8"/>
      <x:c r="P96" s="9"/>
      <x:c r="Q96" s="9"/>
      <x:c r="R96" s="9"/>
      <x:c r="S96" s="8"/>
      <x:c r="T96" s="9" t="str">
        <x:f>IF(Q96="","",Q96-180)</x:f>
      </x:c>
      <x:c r="U96" s="8"/>
      <x:c r="V96" s="8"/>
      <x:c r="W96" s="8"/>
    </x:row>
    <x:row r="97">
      <x:c r="A97" s="8"/>
      <x:c r="B97" s="9"/>
      <x:c r="C97" s="9"/>
      <x:c r="D97" s="9"/>
      <x:c r="E97" s="9"/>
      <x:c r="F97" s="8"/>
      <x:c r="G97" s="8"/>
      <x:c r="H97" s="10"/>
      <x:c r="I97" s="8"/>
      <x:c r="J97" s="8"/>
      <x:c r="K97" s="8"/>
      <x:c r="L97" s="11" t="str">
        <x:f>IF(E97="","",E97-TODAY())</x:f>
      </x:c>
      <x:c r="M97" s="8" t="str">
        <x:f>IF(E97="","待確認截止日",IF(L97&lt;0,"報名已截止",IF(L97&lt;=7,"7日內截止",IF(L97&lt;=30,"30日內截止","持續追蹤"))))</x:f>
        <x:v>待確認截止日</x:v>
      </x:c>
      <x:c r="N97" s="8"/>
      <x:c r="O97" s="8"/>
      <x:c r="P97" s="9"/>
      <x:c r="Q97" s="9"/>
      <x:c r="R97" s="9"/>
      <x:c r="S97" s="8"/>
      <x:c r="T97" s="9" t="str">
        <x:f>IF(Q97="","",Q97-180)</x:f>
      </x:c>
      <x:c r="U97" s="8"/>
      <x:c r="V97" s="8"/>
      <x:c r="W97" s="8"/>
    </x:row>
    <x:row r="98">
      <x:c r="A98" s="8"/>
      <x:c r="B98" s="9"/>
      <x:c r="C98" s="9"/>
      <x:c r="D98" s="9"/>
      <x:c r="E98" s="9"/>
      <x:c r="F98" s="8"/>
      <x:c r="G98" s="8"/>
      <x:c r="H98" s="10"/>
      <x:c r="I98" s="8"/>
      <x:c r="J98" s="8"/>
      <x:c r="K98" s="8"/>
      <x:c r="L98" s="11" t="str">
        <x:f>IF(E98="","",E98-TODAY())</x:f>
      </x:c>
      <x:c r="M98" s="8" t="str">
        <x:f>IF(E98="","待確認截止日",IF(L98&lt;0,"報名已截止",IF(L98&lt;=7,"7日內截止",IF(L98&lt;=30,"30日內截止","持續追蹤"))))</x:f>
        <x:v>待確認截止日</x:v>
      </x:c>
      <x:c r="N98" s="8"/>
      <x:c r="O98" s="8"/>
      <x:c r="P98" s="9"/>
      <x:c r="Q98" s="9"/>
      <x:c r="R98" s="9"/>
      <x:c r="S98" s="8"/>
      <x:c r="T98" s="9" t="str">
        <x:f>IF(Q98="","",Q98-180)</x:f>
      </x:c>
      <x:c r="U98" s="8"/>
      <x:c r="V98" s="8"/>
      <x:c r="W98" s="8"/>
    </x:row>
    <x:row r="99">
      <x:c r="A99" s="8"/>
      <x:c r="B99" s="9"/>
      <x:c r="C99" s="9"/>
      <x:c r="D99" s="9"/>
      <x:c r="E99" s="9"/>
      <x:c r="F99" s="8"/>
      <x:c r="G99" s="8"/>
      <x:c r="H99" s="10"/>
      <x:c r="I99" s="8"/>
      <x:c r="J99" s="8"/>
      <x:c r="K99" s="8"/>
      <x:c r="L99" s="11" t="str">
        <x:f>IF(E99="","",E99-TODAY())</x:f>
      </x:c>
      <x:c r="M99" s="8" t="str">
        <x:f>IF(E99="","待確認截止日",IF(L99&lt;0,"報名已截止",IF(L99&lt;=7,"7日內截止",IF(L99&lt;=30,"30日內截止","持續追蹤"))))</x:f>
        <x:v>待確認截止日</x:v>
      </x:c>
      <x:c r="N99" s="8"/>
      <x:c r="O99" s="8"/>
      <x:c r="P99" s="9"/>
      <x:c r="Q99" s="9"/>
      <x:c r="R99" s="9"/>
      <x:c r="S99" s="8"/>
      <x:c r="T99" s="9" t="str">
        <x:f>IF(Q99="","",Q99-180)</x:f>
      </x:c>
      <x:c r="U99" s="8"/>
      <x:c r="V99" s="8"/>
      <x:c r="W99" s="8"/>
    </x:row>
    <x:row r="100">
      <x:c r="A100" s="8"/>
      <x:c r="B100" s="9"/>
      <x:c r="C100" s="9"/>
      <x:c r="D100" s="9"/>
      <x:c r="E100" s="9"/>
      <x:c r="F100" s="8"/>
      <x:c r="G100" s="8"/>
      <x:c r="H100" s="10"/>
      <x:c r="I100" s="8"/>
      <x:c r="J100" s="8"/>
      <x:c r="K100" s="8"/>
      <x:c r="L100" s="11" t="str">
        <x:f>IF(E100="","",E100-TODAY())</x:f>
      </x:c>
      <x:c r="M100" s="8" t="str">
        <x:f>IF(E100="","待確認截止日",IF(L100&lt;0,"報名已截止",IF(L100&lt;=7,"7日內截止",IF(L100&lt;=30,"30日內截止","持續追蹤"))))</x:f>
        <x:v>待確認截止日</x:v>
      </x:c>
      <x:c r="N100" s="8"/>
      <x:c r="O100" s="8"/>
      <x:c r="P100" s="9"/>
      <x:c r="Q100" s="9"/>
      <x:c r="R100" s="9"/>
      <x:c r="S100" s="8"/>
      <x:c r="T100" s="9" t="str">
        <x:f>IF(Q100="","",Q100-180)</x:f>
      </x:c>
      <x:c r="U100" s="8"/>
      <x:c r="V100" s="8"/>
      <x:c r="W100" s="8"/>
    </x:row>
    <x:row r="101">
      <x:c r="A101" s="8"/>
      <x:c r="B101" s="9"/>
      <x:c r="C101" s="9"/>
      <x:c r="D101" s="9"/>
      <x:c r="E101" s="9"/>
      <x:c r="F101" s="8"/>
      <x:c r="G101" s="8"/>
      <x:c r="H101" s="10"/>
      <x:c r="I101" s="8"/>
      <x:c r="J101" s="8"/>
      <x:c r="K101" s="8"/>
      <x:c r="L101" s="11" t="str">
        <x:f>IF(E101="","",E101-TODAY())</x:f>
      </x:c>
      <x:c r="M101" s="8" t="str">
        <x:f>IF(E101="","待確認截止日",IF(L101&lt;0,"報名已截止",IF(L101&lt;=7,"7日內截止",IF(L101&lt;=30,"30日內截止","持續追蹤"))))</x:f>
        <x:v>待確認截止日</x:v>
      </x:c>
      <x:c r="N101" s="8"/>
      <x:c r="O101" s="8"/>
      <x:c r="P101" s="9"/>
      <x:c r="Q101" s="9"/>
      <x:c r="R101" s="9"/>
      <x:c r="S101" s="8"/>
      <x:c r="T101" s="9" t="str">
        <x:f>IF(Q101="","",Q101-180)</x:f>
      </x:c>
      <x:c r="U101" s="8"/>
      <x:c r="V101" s="8"/>
      <x:c r="W101" s="8"/>
    </x:row>
    <x:row r="102">
      <x:c r="A102" s="8"/>
      <x:c r="B102" s="9"/>
      <x:c r="C102" s="9"/>
      <x:c r="D102" s="9"/>
      <x:c r="E102" s="9"/>
      <x:c r="F102" s="8"/>
      <x:c r="G102" s="8"/>
      <x:c r="H102" s="10"/>
      <x:c r="I102" s="8"/>
      <x:c r="J102" s="8"/>
      <x:c r="K102" s="8"/>
      <x:c r="L102" s="11" t="str">
        <x:f>IF(E102="","",E102-TODAY())</x:f>
      </x:c>
      <x:c r="M102" s="8" t="str">
        <x:f>IF(E102="","待確認截止日",IF(L102&lt;0,"報名已截止",IF(L102&lt;=7,"7日內截止",IF(L102&lt;=30,"30日內截止","持續追蹤"))))</x:f>
        <x:v>待確認截止日</x:v>
      </x:c>
      <x:c r="N102" s="8"/>
      <x:c r="O102" s="8"/>
      <x:c r="P102" s="9"/>
      <x:c r="Q102" s="9"/>
      <x:c r="R102" s="9"/>
      <x:c r="S102" s="8"/>
      <x:c r="T102" s="9" t="str">
        <x:f>IF(Q102="","",Q102-180)</x:f>
      </x:c>
      <x:c r="U102" s="8"/>
      <x:c r="V102" s="8"/>
      <x:c r="W102" s="8"/>
    </x:row>
    <x:row r="103">
      <x:c r="A103" s="8"/>
      <x:c r="B103" s="9"/>
      <x:c r="C103" s="9"/>
      <x:c r="D103" s="9"/>
      <x:c r="E103" s="9"/>
      <x:c r="F103" s="8"/>
      <x:c r="G103" s="8"/>
      <x:c r="H103" s="10"/>
      <x:c r="I103" s="8"/>
      <x:c r="J103" s="8"/>
      <x:c r="K103" s="8"/>
      <x:c r="L103" s="11" t="str">
        <x:f>IF(E103="","",E103-TODAY())</x:f>
      </x:c>
      <x:c r="M103" s="8" t="str">
        <x:f>IF(E103="","待確認截止日",IF(L103&lt;0,"報名已截止",IF(L103&lt;=7,"7日內截止",IF(L103&lt;=30,"30日內截止","持續追蹤"))))</x:f>
        <x:v>待確認截止日</x:v>
      </x:c>
      <x:c r="N103" s="8"/>
      <x:c r="O103" s="8"/>
      <x:c r="P103" s="9"/>
      <x:c r="Q103" s="9"/>
      <x:c r="R103" s="9"/>
      <x:c r="S103" s="8"/>
      <x:c r="T103" s="9" t="str">
        <x:f>IF(Q103="","",Q103-180)</x:f>
      </x:c>
      <x:c r="U103" s="8"/>
      <x:c r="V103" s="8"/>
      <x:c r="W103" s="8"/>
    </x:row>
    <x:row r="104">
      <x:c r="A104" s="8"/>
      <x:c r="B104" s="9"/>
      <x:c r="C104" s="9"/>
      <x:c r="D104" s="9"/>
      <x:c r="E104" s="9"/>
      <x:c r="F104" s="8"/>
      <x:c r="G104" s="8"/>
      <x:c r="H104" s="10"/>
      <x:c r="I104" s="8"/>
      <x:c r="J104" s="8"/>
      <x:c r="K104" s="8"/>
      <x:c r="L104" s="11" t="str">
        <x:f>IF(E104="","",E104-TODAY())</x:f>
      </x:c>
      <x:c r="M104" s="8" t="str">
        <x:f>IF(E104="","待確認截止日",IF(L104&lt;0,"報名已截止",IF(L104&lt;=7,"7日內截止",IF(L104&lt;=30,"30日內截止","持續追蹤"))))</x:f>
        <x:v>待確認截止日</x:v>
      </x:c>
      <x:c r="N104" s="8"/>
      <x:c r="O104" s="8"/>
      <x:c r="P104" s="9"/>
      <x:c r="Q104" s="9"/>
      <x:c r="R104" s="9"/>
      <x:c r="S104" s="8"/>
      <x:c r="T104" s="9" t="str">
        <x:f>IF(Q104="","",Q104-180)</x:f>
      </x:c>
      <x:c r="U104" s="8"/>
      <x:c r="V104" s="8"/>
      <x:c r="W104" s="8"/>
    </x:row>
    <x:row r="105">
      <x:c r="A105" s="8"/>
      <x:c r="B105" s="9"/>
      <x:c r="C105" s="9"/>
      <x:c r="D105" s="9"/>
      <x:c r="E105" s="9"/>
      <x:c r="F105" s="8"/>
      <x:c r="G105" s="8"/>
      <x:c r="H105" s="10"/>
      <x:c r="I105" s="8"/>
      <x:c r="J105" s="8"/>
      <x:c r="K105" s="8"/>
      <x:c r="L105" s="11" t="str">
        <x:f>IF(E105="","",E105-TODAY())</x:f>
      </x:c>
      <x:c r="M105" s="8" t="str">
        <x:f>IF(E105="","待確認截止日",IF(L105&lt;0,"報名已截止",IF(L105&lt;=7,"7日內截止",IF(L105&lt;=30,"30日內截止","持續追蹤"))))</x:f>
        <x:v>待確認截止日</x:v>
      </x:c>
      <x:c r="N105" s="8"/>
      <x:c r="O105" s="8"/>
      <x:c r="P105" s="9"/>
      <x:c r="Q105" s="9"/>
      <x:c r="R105" s="9"/>
      <x:c r="S105" s="8"/>
      <x:c r="T105" s="9" t="str">
        <x:f>IF(Q105="","",Q105-180)</x:f>
      </x:c>
      <x:c r="U105" s="8"/>
      <x:c r="V105" s="8"/>
      <x:c r="W105" s="8"/>
    </x:row>
    <x:row r="106">
      <x:c r="A106" s="8"/>
      <x:c r="B106" s="9"/>
      <x:c r="C106" s="9"/>
      <x:c r="D106" s="9"/>
      <x:c r="E106" s="9"/>
      <x:c r="F106" s="8"/>
      <x:c r="G106" s="8"/>
      <x:c r="H106" s="10"/>
      <x:c r="I106" s="8"/>
      <x:c r="J106" s="8"/>
      <x:c r="K106" s="8"/>
      <x:c r="L106" s="11" t="str">
        <x:f>IF(E106="","",E106-TODAY())</x:f>
      </x:c>
      <x:c r="M106" s="8" t="str">
        <x:f>IF(E106="","待確認截止日",IF(L106&lt;0,"報名已截止",IF(L106&lt;=7,"7日內截止",IF(L106&lt;=30,"30日內截止","持續追蹤"))))</x:f>
        <x:v>待確認截止日</x:v>
      </x:c>
      <x:c r="N106" s="8"/>
      <x:c r="O106" s="8"/>
      <x:c r="P106" s="9"/>
      <x:c r="Q106" s="9"/>
      <x:c r="R106" s="9"/>
      <x:c r="S106" s="8"/>
      <x:c r="T106" s="9" t="str">
        <x:f>IF(Q106="","",Q106-180)</x:f>
      </x:c>
      <x:c r="U106" s="8"/>
      <x:c r="V106" s="8"/>
      <x:c r="W106" s="8"/>
    </x:row>
    <x:row r="107">
      <x:c r="A107" s="8"/>
      <x:c r="B107" s="9"/>
      <x:c r="C107" s="9"/>
      <x:c r="D107" s="9"/>
      <x:c r="E107" s="9"/>
      <x:c r="F107" s="8"/>
      <x:c r="G107" s="8"/>
      <x:c r="H107" s="10"/>
      <x:c r="I107" s="8"/>
      <x:c r="J107" s="8"/>
      <x:c r="K107" s="8"/>
      <x:c r="L107" s="11" t="str">
        <x:f>IF(E107="","",E107-TODAY())</x:f>
      </x:c>
      <x:c r="M107" s="8" t="str">
        <x:f>IF(E107="","待確認截止日",IF(L107&lt;0,"報名已截止",IF(L107&lt;=7,"7日內截止",IF(L107&lt;=30,"30日內截止","持續追蹤"))))</x:f>
        <x:v>待確認截止日</x:v>
      </x:c>
      <x:c r="N107" s="8"/>
      <x:c r="O107" s="8"/>
      <x:c r="P107" s="9"/>
      <x:c r="Q107" s="9"/>
      <x:c r="R107" s="9"/>
      <x:c r="S107" s="8"/>
      <x:c r="T107" s="9" t="str">
        <x:f>IF(Q107="","",Q107-180)</x:f>
      </x:c>
      <x:c r="U107" s="8"/>
      <x:c r="V107" s="8"/>
      <x:c r="W107" s="8"/>
    </x:row>
    <x:row r="108">
      <x:c r="A108" s="8"/>
      <x:c r="B108" s="9"/>
      <x:c r="C108" s="9"/>
      <x:c r="D108" s="9"/>
      <x:c r="E108" s="9"/>
      <x:c r="F108" s="8"/>
      <x:c r="G108" s="8"/>
      <x:c r="H108" s="10"/>
      <x:c r="I108" s="8"/>
      <x:c r="J108" s="8"/>
      <x:c r="K108" s="8"/>
      <x:c r="L108" s="11" t="str">
        <x:f>IF(E108="","",E108-TODAY())</x:f>
      </x:c>
      <x:c r="M108" s="8" t="str">
        <x:f>IF(E108="","待確認截止日",IF(L108&lt;0,"報名已截止",IF(L108&lt;=7,"7日內截止",IF(L108&lt;=30,"30日內截止","持續追蹤"))))</x:f>
        <x:v>待確認截止日</x:v>
      </x:c>
      <x:c r="N108" s="8"/>
      <x:c r="O108" s="8"/>
      <x:c r="P108" s="9"/>
      <x:c r="Q108" s="9"/>
      <x:c r="R108" s="9"/>
      <x:c r="S108" s="8"/>
      <x:c r="T108" s="9" t="str">
        <x:f>IF(Q108="","",Q108-180)</x:f>
      </x:c>
      <x:c r="U108" s="8"/>
      <x:c r="V108" s="8"/>
      <x:c r="W108" s="8"/>
    </x:row>
    <x:row r="109">
      <x:c r="A109" s="8"/>
      <x:c r="B109" s="9"/>
      <x:c r="C109" s="9"/>
      <x:c r="D109" s="9"/>
      <x:c r="E109" s="9"/>
      <x:c r="F109" s="8"/>
      <x:c r="G109" s="8"/>
      <x:c r="H109" s="10"/>
      <x:c r="I109" s="8"/>
      <x:c r="J109" s="8"/>
      <x:c r="K109" s="8"/>
      <x:c r="L109" s="11" t="str">
        <x:f>IF(E109="","",E109-TODAY())</x:f>
      </x:c>
      <x:c r="M109" s="8" t="str">
        <x:f>IF(E109="","待確認截止日",IF(L109&lt;0,"報名已截止",IF(L109&lt;=7,"7日內截止",IF(L109&lt;=30,"30日內截止","持續追蹤"))))</x:f>
        <x:v>待確認截止日</x:v>
      </x:c>
      <x:c r="N109" s="8"/>
      <x:c r="O109" s="8"/>
      <x:c r="P109" s="9"/>
      <x:c r="Q109" s="9"/>
      <x:c r="R109" s="9"/>
      <x:c r="S109" s="8"/>
      <x:c r="T109" s="9" t="str">
        <x:f>IF(Q109="","",Q109-180)</x:f>
      </x:c>
      <x:c r="U109" s="8"/>
      <x:c r="V109" s="8"/>
      <x:c r="W109" s="8"/>
    </x:row>
    <x:row r="110">
      <x:c r="A110" s="8"/>
      <x:c r="B110" s="9"/>
      <x:c r="C110" s="9"/>
      <x:c r="D110" s="9"/>
      <x:c r="E110" s="9"/>
      <x:c r="F110" s="8"/>
      <x:c r="G110" s="8"/>
      <x:c r="H110" s="10"/>
      <x:c r="I110" s="8"/>
      <x:c r="J110" s="8"/>
      <x:c r="K110" s="8"/>
      <x:c r="L110" s="11" t="str">
        <x:f>IF(E110="","",E110-TODAY())</x:f>
      </x:c>
      <x:c r="M110" s="8" t="str">
        <x:f>IF(E110="","待確認截止日",IF(L110&lt;0,"報名已截止",IF(L110&lt;=7,"7日內截止",IF(L110&lt;=30,"30日內截止","持續追蹤"))))</x:f>
        <x:v>待確認截止日</x:v>
      </x:c>
      <x:c r="N110" s="8"/>
      <x:c r="O110" s="8"/>
      <x:c r="P110" s="9"/>
      <x:c r="Q110" s="9"/>
      <x:c r="R110" s="9"/>
      <x:c r="S110" s="8"/>
      <x:c r="T110" s="9" t="str">
        <x:f>IF(Q110="","",Q110-180)</x:f>
      </x:c>
      <x:c r="U110" s="8"/>
      <x:c r="V110" s="8"/>
      <x:c r="W110" s="8"/>
    </x:row>
    <x:row r="111">
      <x:c r="A111" s="8"/>
      <x:c r="B111" s="9"/>
      <x:c r="C111" s="9"/>
      <x:c r="D111" s="9"/>
      <x:c r="E111" s="9"/>
      <x:c r="F111" s="8"/>
      <x:c r="G111" s="8"/>
      <x:c r="H111" s="10"/>
      <x:c r="I111" s="8"/>
      <x:c r="J111" s="8"/>
      <x:c r="K111" s="8"/>
      <x:c r="L111" s="11" t="str">
        <x:f>IF(E111="","",E111-TODAY())</x:f>
      </x:c>
      <x:c r="M111" s="8" t="str">
        <x:f>IF(E111="","待確認截止日",IF(L111&lt;0,"報名已截止",IF(L111&lt;=7,"7日內截止",IF(L111&lt;=30,"30日內截止","持續追蹤"))))</x:f>
        <x:v>待確認截止日</x:v>
      </x:c>
      <x:c r="N111" s="8"/>
      <x:c r="O111" s="8"/>
      <x:c r="P111" s="9"/>
      <x:c r="Q111" s="9"/>
      <x:c r="R111" s="9"/>
      <x:c r="S111" s="8"/>
      <x:c r="T111" s="9" t="str">
        <x:f>IF(Q111="","",Q111-180)</x:f>
      </x:c>
      <x:c r="U111" s="8"/>
      <x:c r="V111" s="8"/>
      <x:c r="W111" s="8"/>
    </x:row>
    <x:row r="112">
      <x:c r="A112" s="8"/>
      <x:c r="B112" s="9"/>
      <x:c r="C112" s="9"/>
      <x:c r="D112" s="9"/>
      <x:c r="E112" s="9"/>
      <x:c r="F112" s="8"/>
      <x:c r="G112" s="8"/>
      <x:c r="H112" s="10"/>
      <x:c r="I112" s="8"/>
      <x:c r="J112" s="8"/>
      <x:c r="K112" s="8"/>
      <x:c r="L112" s="11" t="str">
        <x:f>IF(E112="","",E112-TODAY())</x:f>
      </x:c>
      <x:c r="M112" s="8" t="str">
        <x:f>IF(E112="","待確認截止日",IF(L112&lt;0,"報名已截止",IF(L112&lt;=7,"7日內截止",IF(L112&lt;=30,"30日內截止","持續追蹤"))))</x:f>
        <x:v>待確認截止日</x:v>
      </x:c>
      <x:c r="N112" s="8"/>
      <x:c r="O112" s="8"/>
      <x:c r="P112" s="9"/>
      <x:c r="Q112" s="9"/>
      <x:c r="R112" s="9"/>
      <x:c r="S112" s="8"/>
      <x:c r="T112" s="9" t="str">
        <x:f>IF(Q112="","",Q112-180)</x:f>
      </x:c>
      <x:c r="U112" s="8"/>
      <x:c r="V112" s="8"/>
      <x:c r="W112" s="8"/>
    </x:row>
    <x:row r="113">
      <x:c r="A113" s="8"/>
      <x:c r="B113" s="9"/>
      <x:c r="C113" s="9"/>
      <x:c r="D113" s="9"/>
      <x:c r="E113" s="9"/>
      <x:c r="F113" s="8"/>
      <x:c r="G113" s="8"/>
      <x:c r="H113" s="10"/>
      <x:c r="I113" s="8"/>
      <x:c r="J113" s="8"/>
      <x:c r="K113" s="8"/>
      <x:c r="L113" s="11" t="str">
        <x:f>IF(E113="","",E113-TODAY())</x:f>
      </x:c>
      <x:c r="M113" s="8" t="str">
        <x:f>IF(E113="","待確認截止日",IF(L113&lt;0,"報名已截止",IF(L113&lt;=7,"7日內截止",IF(L113&lt;=30,"30日內截止","持續追蹤"))))</x:f>
        <x:v>待確認截止日</x:v>
      </x:c>
      <x:c r="N113" s="8"/>
      <x:c r="O113" s="8"/>
      <x:c r="P113" s="9"/>
      <x:c r="Q113" s="9"/>
      <x:c r="R113" s="9"/>
      <x:c r="S113" s="8"/>
      <x:c r="T113" s="9" t="str">
        <x:f>IF(Q113="","",Q113-180)</x:f>
      </x:c>
      <x:c r="U113" s="8"/>
      <x:c r="V113" s="8"/>
      <x:c r="W113" s="8"/>
    </x:row>
    <x:row r="114">
      <x:c r="A114" s="8"/>
      <x:c r="B114" s="9"/>
      <x:c r="C114" s="9"/>
      <x:c r="D114" s="9"/>
      <x:c r="E114" s="9"/>
      <x:c r="F114" s="8"/>
      <x:c r="G114" s="8"/>
      <x:c r="H114" s="10"/>
      <x:c r="I114" s="8"/>
      <x:c r="J114" s="8"/>
      <x:c r="K114" s="8"/>
      <x:c r="L114" s="11" t="str">
        <x:f>IF(E114="","",E114-TODAY())</x:f>
      </x:c>
      <x:c r="M114" s="8" t="str">
        <x:f>IF(E114="","待確認截止日",IF(L114&lt;0,"報名已截止",IF(L114&lt;=7,"7日內截止",IF(L114&lt;=30,"30日內截止","持續追蹤"))))</x:f>
        <x:v>待確認截止日</x:v>
      </x:c>
      <x:c r="N114" s="8"/>
      <x:c r="O114" s="8"/>
      <x:c r="P114" s="9"/>
      <x:c r="Q114" s="9"/>
      <x:c r="R114" s="9"/>
      <x:c r="S114" s="8"/>
      <x:c r="T114" s="9" t="str">
        <x:f>IF(Q114="","",Q114-180)</x:f>
      </x:c>
      <x:c r="U114" s="8"/>
      <x:c r="V114" s="8"/>
      <x:c r="W114" s="8"/>
    </x:row>
    <x:row r="115">
      <x:c r="A115" s="8"/>
      <x:c r="B115" s="9"/>
      <x:c r="C115" s="9"/>
      <x:c r="D115" s="9"/>
      <x:c r="E115" s="9"/>
      <x:c r="F115" s="8"/>
      <x:c r="G115" s="8"/>
      <x:c r="H115" s="10"/>
      <x:c r="I115" s="8"/>
      <x:c r="J115" s="8"/>
      <x:c r="K115" s="8"/>
      <x:c r="L115" s="11" t="str">
        <x:f>IF(E115="","",E115-TODAY())</x:f>
      </x:c>
      <x:c r="M115" s="8" t="str">
        <x:f>IF(E115="","待確認截止日",IF(L115&lt;0,"報名已截止",IF(L115&lt;=7,"7日內截止",IF(L115&lt;=30,"30日內截止","持續追蹤"))))</x:f>
        <x:v>待確認截止日</x:v>
      </x:c>
      <x:c r="N115" s="8"/>
      <x:c r="O115" s="8"/>
      <x:c r="P115" s="9"/>
      <x:c r="Q115" s="9"/>
      <x:c r="R115" s="9"/>
      <x:c r="S115" s="8"/>
      <x:c r="T115" s="9" t="str">
        <x:f>IF(Q115="","",Q115-180)</x:f>
      </x:c>
      <x:c r="U115" s="8"/>
      <x:c r="V115" s="8"/>
      <x:c r="W115" s="8"/>
    </x:row>
    <x:row r="116">
      <x:c r="A116" s="8"/>
      <x:c r="B116" s="9"/>
      <x:c r="C116" s="9"/>
      <x:c r="D116" s="9"/>
      <x:c r="E116" s="9"/>
      <x:c r="F116" s="8"/>
      <x:c r="G116" s="8"/>
      <x:c r="H116" s="10"/>
      <x:c r="I116" s="8"/>
      <x:c r="J116" s="8"/>
      <x:c r="K116" s="8"/>
      <x:c r="L116" s="11" t="str">
        <x:f>IF(E116="","",E116-TODAY())</x:f>
      </x:c>
      <x:c r="M116" s="8" t="str">
        <x:f>IF(E116="","待確認截止日",IF(L116&lt;0,"報名已截止",IF(L116&lt;=7,"7日內截止",IF(L116&lt;=30,"30日內截止","持續追蹤"))))</x:f>
        <x:v>待確認截止日</x:v>
      </x:c>
      <x:c r="N116" s="8"/>
      <x:c r="O116" s="8"/>
      <x:c r="P116" s="9"/>
      <x:c r="Q116" s="9"/>
      <x:c r="R116" s="9"/>
      <x:c r="S116" s="8"/>
      <x:c r="T116" s="9" t="str">
        <x:f>IF(Q116="","",Q116-180)</x:f>
      </x:c>
      <x:c r="U116" s="8"/>
      <x:c r="V116" s="8"/>
      <x:c r="W116" s="8"/>
    </x:row>
    <x:row r="117">
      <x:c r="A117" s="8"/>
      <x:c r="B117" s="9"/>
      <x:c r="C117" s="9"/>
      <x:c r="D117" s="9"/>
      <x:c r="E117" s="9"/>
      <x:c r="F117" s="8"/>
      <x:c r="G117" s="8"/>
      <x:c r="H117" s="10"/>
      <x:c r="I117" s="8"/>
      <x:c r="J117" s="8"/>
      <x:c r="K117" s="8"/>
      <x:c r="L117" s="11" t="str">
        <x:f>IF(E117="","",E117-TODAY())</x:f>
      </x:c>
      <x:c r="M117" s="8" t="str">
        <x:f>IF(E117="","待確認截止日",IF(L117&lt;0,"報名已截止",IF(L117&lt;=7,"7日內截止",IF(L117&lt;=30,"30日內截止","持續追蹤"))))</x:f>
        <x:v>待確認截止日</x:v>
      </x:c>
      <x:c r="N117" s="8"/>
      <x:c r="O117" s="8"/>
      <x:c r="P117" s="9"/>
      <x:c r="Q117" s="9"/>
      <x:c r="R117" s="9"/>
      <x:c r="S117" s="8"/>
      <x:c r="T117" s="9" t="str">
        <x:f>IF(Q117="","",Q117-180)</x:f>
      </x:c>
      <x:c r="U117" s="8"/>
      <x:c r="V117" s="8"/>
      <x:c r="W117" s="8"/>
    </x:row>
    <x:row r="118">
      <x:c r="A118" s="8"/>
      <x:c r="B118" s="9"/>
      <x:c r="C118" s="9"/>
      <x:c r="D118" s="9"/>
      <x:c r="E118" s="9"/>
      <x:c r="F118" s="8"/>
      <x:c r="G118" s="8"/>
      <x:c r="H118" s="10"/>
      <x:c r="I118" s="8"/>
      <x:c r="J118" s="8"/>
      <x:c r="K118" s="8"/>
      <x:c r="L118" s="11" t="str">
        <x:f>IF(E118="","",E118-TODAY())</x:f>
      </x:c>
      <x:c r="M118" s="8" t="str">
        <x:f>IF(E118="","待確認截止日",IF(L118&lt;0,"報名已截止",IF(L118&lt;=7,"7日內截止",IF(L118&lt;=30,"30日內截止","持續追蹤"))))</x:f>
        <x:v>待確認截止日</x:v>
      </x:c>
      <x:c r="N118" s="8"/>
      <x:c r="O118" s="8"/>
      <x:c r="P118" s="9"/>
      <x:c r="Q118" s="9"/>
      <x:c r="R118" s="9"/>
      <x:c r="S118" s="8"/>
      <x:c r="T118" s="9" t="str">
        <x:f>IF(Q118="","",Q118-180)</x:f>
      </x:c>
      <x:c r="U118" s="8"/>
      <x:c r="V118" s="8"/>
      <x:c r="W118" s="8"/>
    </x:row>
    <x:row r="119">
      <x:c r="A119" s="8"/>
      <x:c r="B119" s="9"/>
      <x:c r="C119" s="9"/>
      <x:c r="D119" s="9"/>
      <x:c r="E119" s="9"/>
      <x:c r="F119" s="8"/>
      <x:c r="G119" s="8"/>
      <x:c r="H119" s="10"/>
      <x:c r="I119" s="8"/>
      <x:c r="J119" s="8"/>
      <x:c r="K119" s="8"/>
      <x:c r="L119" s="11" t="str">
        <x:f>IF(E119="","",E119-TODAY())</x:f>
      </x:c>
      <x:c r="M119" s="8" t="str">
        <x:f>IF(E119="","待確認截止日",IF(L119&lt;0,"報名已截止",IF(L119&lt;=7,"7日內截止",IF(L119&lt;=30,"30日內截止","持續追蹤"))))</x:f>
        <x:v>待確認截止日</x:v>
      </x:c>
      <x:c r="N119" s="8"/>
      <x:c r="O119" s="8"/>
      <x:c r="P119" s="9"/>
      <x:c r="Q119" s="9"/>
      <x:c r="R119" s="9"/>
      <x:c r="S119" s="8"/>
      <x:c r="T119" s="9" t="str">
        <x:f>IF(Q119="","",Q119-180)</x:f>
      </x:c>
      <x:c r="U119" s="8"/>
      <x:c r="V119" s="8"/>
      <x:c r="W119" s="8"/>
    </x:row>
    <x:row r="120">
      <x:c r="A120" s="8"/>
      <x:c r="B120" s="9"/>
      <x:c r="C120" s="9"/>
      <x:c r="D120" s="9"/>
      <x:c r="E120" s="9"/>
      <x:c r="F120" s="8"/>
      <x:c r="G120" s="8"/>
      <x:c r="H120" s="10"/>
      <x:c r="I120" s="8"/>
      <x:c r="J120" s="8"/>
      <x:c r="K120" s="8"/>
      <x:c r="L120" s="11" t="str">
        <x:f>IF(E120="","",E120-TODAY())</x:f>
      </x:c>
      <x:c r="M120" s="8" t="str">
        <x:f>IF(E120="","待確認截止日",IF(L120&lt;0,"報名已截止",IF(L120&lt;=7,"7日內截止",IF(L120&lt;=30,"30日內截止","持續追蹤"))))</x:f>
        <x:v>待確認截止日</x:v>
      </x:c>
      <x:c r="N120" s="8"/>
      <x:c r="O120" s="8"/>
      <x:c r="P120" s="9"/>
      <x:c r="Q120" s="9"/>
      <x:c r="R120" s="9"/>
      <x:c r="S120" s="8"/>
      <x:c r="T120" s="9" t="str">
        <x:f>IF(Q120="","",Q120-180)</x:f>
      </x:c>
      <x:c r="U120" s="8"/>
      <x:c r="V120" s="8"/>
      <x:c r="W120" s="8"/>
    </x:row>
    <x:row r="121">
      <x:c r="A121" s="8"/>
      <x:c r="B121" s="9"/>
      <x:c r="C121" s="9"/>
      <x:c r="D121" s="9"/>
      <x:c r="E121" s="9"/>
      <x:c r="F121" s="8"/>
      <x:c r="G121" s="8"/>
      <x:c r="H121" s="10"/>
      <x:c r="I121" s="8"/>
      <x:c r="J121" s="8"/>
      <x:c r="K121" s="8"/>
      <x:c r="L121" s="11" t="str">
        <x:f>IF(E121="","",E121-TODAY())</x:f>
      </x:c>
      <x:c r="M121" s="8" t="str">
        <x:f>IF(E121="","待確認截止日",IF(L121&lt;0,"報名已截止",IF(L121&lt;=7,"7日內截止",IF(L121&lt;=30,"30日內截止","持續追蹤"))))</x:f>
        <x:v>待確認截止日</x:v>
      </x:c>
      <x:c r="N121" s="8"/>
      <x:c r="O121" s="8"/>
      <x:c r="P121" s="9"/>
      <x:c r="Q121" s="9"/>
      <x:c r="R121" s="9"/>
      <x:c r="S121" s="8"/>
      <x:c r="T121" s="9" t="str">
        <x:f>IF(Q121="","",Q121-180)</x:f>
      </x:c>
      <x:c r="U121" s="8"/>
      <x:c r="V121" s="8"/>
      <x:c r="W121" s="8"/>
    </x:row>
    <x:row r="122">
      <x:c r="A122" s="8"/>
      <x:c r="B122" s="9"/>
      <x:c r="C122" s="9"/>
      <x:c r="D122" s="9"/>
      <x:c r="E122" s="9"/>
      <x:c r="F122" s="8"/>
      <x:c r="G122" s="8"/>
      <x:c r="H122" s="10"/>
      <x:c r="I122" s="8"/>
      <x:c r="J122" s="8"/>
      <x:c r="K122" s="8"/>
      <x:c r="L122" s="11" t="str">
        <x:f>IF(E122="","",E122-TODAY())</x:f>
      </x:c>
      <x:c r="M122" s="8" t="str">
        <x:f>IF(E122="","待確認截止日",IF(L122&lt;0,"報名已截止",IF(L122&lt;=7,"7日內截止",IF(L122&lt;=30,"30日內截止","持續追蹤"))))</x:f>
        <x:v>待確認截止日</x:v>
      </x:c>
      <x:c r="N122" s="8"/>
      <x:c r="O122" s="8"/>
      <x:c r="P122" s="9"/>
      <x:c r="Q122" s="9"/>
      <x:c r="R122" s="9"/>
      <x:c r="S122" s="8"/>
      <x:c r="T122" s="9" t="str">
        <x:f>IF(Q122="","",Q122-180)</x:f>
      </x:c>
      <x:c r="U122" s="8"/>
      <x:c r="V122" s="8"/>
      <x:c r="W122" s="8"/>
    </x:row>
    <x:row r="123">
      <x:c r="A123" s="8"/>
      <x:c r="B123" s="9"/>
      <x:c r="C123" s="9"/>
      <x:c r="D123" s="9"/>
      <x:c r="E123" s="9"/>
      <x:c r="F123" s="8"/>
      <x:c r="G123" s="8"/>
      <x:c r="H123" s="10"/>
      <x:c r="I123" s="8"/>
      <x:c r="J123" s="8"/>
      <x:c r="K123" s="8"/>
      <x:c r="L123" s="11" t="str">
        <x:f>IF(E123="","",E123-TODAY())</x:f>
      </x:c>
      <x:c r="M123" s="8" t="str">
        <x:f>IF(E123="","待確認截止日",IF(L123&lt;0,"報名已截止",IF(L123&lt;=7,"7日內截止",IF(L123&lt;=30,"30日內截止","持續追蹤"))))</x:f>
        <x:v>待確認截止日</x:v>
      </x:c>
      <x:c r="N123" s="8"/>
      <x:c r="O123" s="8"/>
      <x:c r="P123" s="9"/>
      <x:c r="Q123" s="9"/>
      <x:c r="R123" s="9"/>
      <x:c r="S123" s="8"/>
      <x:c r="T123" s="9" t="str">
        <x:f>IF(Q123="","",Q123-180)</x:f>
      </x:c>
      <x:c r="U123" s="8"/>
      <x:c r="V123" s="8"/>
      <x:c r="W123" s="8"/>
    </x:row>
    <x:row r="124">
      <x:c r="A124" s="8"/>
      <x:c r="B124" s="9"/>
      <x:c r="C124" s="9"/>
      <x:c r="D124" s="9"/>
      <x:c r="E124" s="9"/>
      <x:c r="F124" s="8"/>
      <x:c r="G124" s="8"/>
      <x:c r="H124" s="10"/>
      <x:c r="I124" s="8"/>
      <x:c r="J124" s="8"/>
      <x:c r="K124" s="8"/>
      <x:c r="L124" s="11" t="str">
        <x:f>IF(E124="","",E124-TODAY())</x:f>
      </x:c>
      <x:c r="M124" s="8" t="str">
        <x:f>IF(E124="","待確認截止日",IF(L124&lt;0,"報名已截止",IF(L124&lt;=7,"7日內截止",IF(L124&lt;=30,"30日內截止","持續追蹤"))))</x:f>
        <x:v>待確認截止日</x:v>
      </x:c>
      <x:c r="N124" s="8"/>
      <x:c r="O124" s="8"/>
      <x:c r="P124" s="9"/>
      <x:c r="Q124" s="9"/>
      <x:c r="R124" s="9"/>
      <x:c r="S124" s="8"/>
      <x:c r="T124" s="9" t="str">
        <x:f>IF(Q124="","",Q124-180)</x:f>
      </x:c>
      <x:c r="U124" s="8"/>
      <x:c r="V124" s="8"/>
      <x:c r="W124" s="8"/>
    </x:row>
    <x:row r="125">
      <x:c r="A125" s="8"/>
      <x:c r="B125" s="9"/>
      <x:c r="C125" s="9"/>
      <x:c r="D125" s="9"/>
      <x:c r="E125" s="9"/>
      <x:c r="F125" s="8"/>
      <x:c r="G125" s="8"/>
      <x:c r="H125" s="10"/>
      <x:c r="I125" s="8"/>
      <x:c r="J125" s="8"/>
      <x:c r="K125" s="8"/>
      <x:c r="L125" s="11" t="str">
        <x:f>IF(E125="","",E125-TODAY())</x:f>
      </x:c>
      <x:c r="M125" s="8" t="str">
        <x:f>IF(E125="","待確認截止日",IF(L125&lt;0,"報名已截止",IF(L125&lt;=7,"7日內截止",IF(L125&lt;=30,"30日內截止","持續追蹤"))))</x:f>
        <x:v>待確認截止日</x:v>
      </x:c>
      <x:c r="N125" s="8"/>
      <x:c r="O125" s="8"/>
      <x:c r="P125" s="9"/>
      <x:c r="Q125" s="9"/>
      <x:c r="R125" s="9"/>
      <x:c r="S125" s="8"/>
      <x:c r="T125" s="9" t="str">
        <x:f>IF(Q125="","",Q125-180)</x:f>
      </x:c>
      <x:c r="U125" s="8"/>
      <x:c r="V125" s="8"/>
      <x:c r="W125" s="8"/>
    </x:row>
    <x:row r="126">
      <x:c r="A126" s="8"/>
      <x:c r="B126" s="9"/>
      <x:c r="C126" s="9"/>
      <x:c r="D126" s="9"/>
      <x:c r="E126" s="9"/>
      <x:c r="F126" s="8"/>
      <x:c r="G126" s="8"/>
      <x:c r="H126" s="10"/>
      <x:c r="I126" s="8"/>
      <x:c r="J126" s="8"/>
      <x:c r="K126" s="8"/>
      <x:c r="L126" s="11" t="str">
        <x:f>IF(E126="","",E126-TODAY())</x:f>
      </x:c>
      <x:c r="M126" s="8" t="str">
        <x:f>IF(E126="","待確認截止日",IF(L126&lt;0,"報名已截止",IF(L126&lt;=7,"7日內截止",IF(L126&lt;=30,"30日內截止","持續追蹤"))))</x:f>
        <x:v>待確認截止日</x:v>
      </x:c>
      <x:c r="N126" s="8"/>
      <x:c r="O126" s="8"/>
      <x:c r="P126" s="9"/>
      <x:c r="Q126" s="9"/>
      <x:c r="R126" s="9"/>
      <x:c r="S126" s="8"/>
      <x:c r="T126" s="9" t="str">
        <x:f>IF(Q126="","",Q126-180)</x:f>
      </x:c>
      <x:c r="U126" s="8"/>
      <x:c r="V126" s="8"/>
      <x:c r="W126" s="8"/>
    </x:row>
    <x:row r="127">
      <x:c r="A127" s="8"/>
      <x:c r="B127" s="9"/>
      <x:c r="C127" s="9"/>
      <x:c r="D127" s="9"/>
      <x:c r="E127" s="9"/>
      <x:c r="F127" s="8"/>
      <x:c r="G127" s="8"/>
      <x:c r="H127" s="10"/>
      <x:c r="I127" s="8"/>
      <x:c r="J127" s="8"/>
      <x:c r="K127" s="8"/>
      <x:c r="L127" s="11" t="str">
        <x:f>IF(E127="","",E127-TODAY())</x:f>
      </x:c>
      <x:c r="M127" s="8" t="str">
        <x:f>IF(E127="","待確認截止日",IF(L127&lt;0,"報名已截止",IF(L127&lt;=7,"7日內截止",IF(L127&lt;=30,"30日內截止","持續追蹤"))))</x:f>
        <x:v>待確認截止日</x:v>
      </x:c>
      <x:c r="N127" s="8"/>
      <x:c r="O127" s="8"/>
      <x:c r="P127" s="9"/>
      <x:c r="Q127" s="9"/>
      <x:c r="R127" s="9"/>
      <x:c r="S127" s="8"/>
      <x:c r="T127" s="9" t="str">
        <x:f>IF(Q127="","",Q127-180)</x:f>
      </x:c>
      <x:c r="U127" s="8"/>
      <x:c r="V127" s="8"/>
      <x:c r="W127" s="8"/>
    </x:row>
    <x:row r="128">
      <x:c r="A128" s="8"/>
      <x:c r="B128" s="9"/>
      <x:c r="C128" s="9"/>
      <x:c r="D128" s="9"/>
      <x:c r="E128" s="9"/>
      <x:c r="F128" s="8"/>
      <x:c r="G128" s="8"/>
      <x:c r="H128" s="10"/>
      <x:c r="I128" s="8"/>
      <x:c r="J128" s="8"/>
      <x:c r="K128" s="8"/>
      <x:c r="L128" s="11" t="str">
        <x:f>IF(E128="","",E128-TODAY())</x:f>
      </x:c>
      <x:c r="M128" s="8" t="str">
        <x:f>IF(E128="","待確認截止日",IF(L128&lt;0,"報名已截止",IF(L128&lt;=7,"7日內截止",IF(L128&lt;=30,"30日內截止","持續追蹤"))))</x:f>
        <x:v>待確認截止日</x:v>
      </x:c>
      <x:c r="N128" s="8"/>
      <x:c r="O128" s="8"/>
      <x:c r="P128" s="9"/>
      <x:c r="Q128" s="9"/>
      <x:c r="R128" s="9"/>
      <x:c r="S128" s="8"/>
      <x:c r="T128" s="9" t="str">
        <x:f>IF(Q128="","",Q128-180)</x:f>
      </x:c>
      <x:c r="U128" s="8"/>
      <x:c r="V128" s="8"/>
      <x:c r="W128" s="8"/>
    </x:row>
    <x:row r="129">
      <x:c r="A129" s="8"/>
      <x:c r="B129" s="9"/>
      <x:c r="C129" s="9"/>
      <x:c r="D129" s="9"/>
      <x:c r="E129" s="9"/>
      <x:c r="F129" s="8"/>
      <x:c r="G129" s="8"/>
      <x:c r="H129" s="10"/>
      <x:c r="I129" s="8"/>
      <x:c r="J129" s="8"/>
      <x:c r="K129" s="8"/>
      <x:c r="L129" s="11" t="str">
        <x:f>IF(E129="","",E129-TODAY())</x:f>
      </x:c>
      <x:c r="M129" s="8" t="str">
        <x:f>IF(E129="","待確認截止日",IF(L129&lt;0,"報名已截止",IF(L129&lt;=7,"7日內截止",IF(L129&lt;=30,"30日內截止","持續追蹤"))))</x:f>
        <x:v>待確認截止日</x:v>
      </x:c>
      <x:c r="N129" s="8"/>
      <x:c r="O129" s="8"/>
      <x:c r="P129" s="9"/>
      <x:c r="Q129" s="9"/>
      <x:c r="R129" s="9"/>
      <x:c r="S129" s="8"/>
      <x:c r="T129" s="9" t="str">
        <x:f>IF(Q129="","",Q129-180)</x:f>
      </x:c>
      <x:c r="U129" s="8"/>
      <x:c r="V129" s="8"/>
      <x:c r="W129" s="8"/>
    </x:row>
    <x:row r="130">
      <x:c r="A130" s="8"/>
      <x:c r="B130" s="9"/>
      <x:c r="C130" s="9"/>
      <x:c r="D130" s="9"/>
      <x:c r="E130" s="9"/>
      <x:c r="F130" s="8"/>
      <x:c r="G130" s="8"/>
      <x:c r="H130" s="10"/>
      <x:c r="I130" s="8"/>
      <x:c r="J130" s="8"/>
      <x:c r="K130" s="8"/>
      <x:c r="L130" s="11" t="str">
        <x:f>IF(E130="","",E130-TODAY())</x:f>
      </x:c>
      <x:c r="M130" s="8" t="str">
        <x:f>IF(E130="","待確認截止日",IF(L130&lt;0,"報名已截止",IF(L130&lt;=7,"7日內截止",IF(L130&lt;=30,"30日內截止","持續追蹤"))))</x:f>
        <x:v>待確認截止日</x:v>
      </x:c>
      <x:c r="N130" s="8"/>
      <x:c r="O130" s="8"/>
      <x:c r="P130" s="9"/>
      <x:c r="Q130" s="9"/>
      <x:c r="R130" s="9"/>
      <x:c r="S130" s="8"/>
      <x:c r="T130" s="9" t="str">
        <x:f>IF(Q130="","",Q130-180)</x:f>
      </x:c>
      <x:c r="U130" s="8"/>
      <x:c r="V130" s="8"/>
      <x:c r="W130" s="8"/>
    </x:row>
    <x:row r="131">
      <x:c r="A131" s="8"/>
      <x:c r="B131" s="9"/>
      <x:c r="C131" s="9"/>
      <x:c r="D131" s="9"/>
      <x:c r="E131" s="9"/>
      <x:c r="F131" s="8"/>
      <x:c r="G131" s="8"/>
      <x:c r="H131" s="10"/>
      <x:c r="I131" s="8"/>
      <x:c r="J131" s="8"/>
      <x:c r="K131" s="8"/>
      <x:c r="L131" s="11" t="str">
        <x:f>IF(E131="","",E131-TODAY())</x:f>
      </x:c>
      <x:c r="M131" s="8" t="str">
        <x:f>IF(E131="","待確認截止日",IF(L131&lt;0,"報名已截止",IF(L131&lt;=7,"7日內截止",IF(L131&lt;=30,"30日內截止","持續追蹤"))))</x:f>
        <x:v>待確認截止日</x:v>
      </x:c>
      <x:c r="N131" s="8"/>
      <x:c r="O131" s="8"/>
      <x:c r="P131" s="9"/>
      <x:c r="Q131" s="9"/>
      <x:c r="R131" s="9"/>
      <x:c r="S131" s="8"/>
      <x:c r="T131" s="9" t="str">
        <x:f>IF(Q131="","",Q131-180)</x:f>
      </x:c>
      <x:c r="U131" s="8"/>
      <x:c r="V131" s="8"/>
      <x:c r="W131" s="8"/>
    </x:row>
    <x:row r="132">
      <x:c r="A132" s="8"/>
      <x:c r="B132" s="9"/>
      <x:c r="C132" s="9"/>
      <x:c r="D132" s="9"/>
      <x:c r="E132" s="9"/>
      <x:c r="F132" s="8"/>
      <x:c r="G132" s="8"/>
      <x:c r="H132" s="10"/>
      <x:c r="I132" s="8"/>
      <x:c r="J132" s="8"/>
      <x:c r="K132" s="8"/>
      <x:c r="L132" s="11" t="str">
        <x:f>IF(E132="","",E132-TODAY())</x:f>
      </x:c>
      <x:c r="M132" s="8" t="str">
        <x:f>IF(E132="","待確認截止日",IF(L132&lt;0,"報名已截止",IF(L132&lt;=7,"7日內截止",IF(L132&lt;=30,"30日內截止","持續追蹤"))))</x:f>
        <x:v>待確認截止日</x:v>
      </x:c>
      <x:c r="N132" s="8"/>
      <x:c r="O132" s="8"/>
      <x:c r="P132" s="9"/>
      <x:c r="Q132" s="9"/>
      <x:c r="R132" s="9"/>
      <x:c r="S132" s="8"/>
      <x:c r="T132" s="9" t="str">
        <x:f>IF(Q132="","",Q132-180)</x:f>
      </x:c>
      <x:c r="U132" s="8"/>
      <x:c r="V132" s="8"/>
      <x:c r="W132" s="8"/>
    </x:row>
    <x:row r="133">
      <x:c r="A133" s="8"/>
      <x:c r="B133" s="9"/>
      <x:c r="C133" s="9"/>
      <x:c r="D133" s="9"/>
      <x:c r="E133" s="9"/>
      <x:c r="F133" s="8"/>
      <x:c r="G133" s="8"/>
      <x:c r="H133" s="10"/>
      <x:c r="I133" s="8"/>
      <x:c r="J133" s="8"/>
      <x:c r="K133" s="8"/>
      <x:c r="L133" s="11" t="str">
        <x:f>IF(E133="","",E133-TODAY())</x:f>
      </x:c>
      <x:c r="M133" s="8" t="str">
        <x:f>IF(E133="","待確認截止日",IF(L133&lt;0,"報名已截止",IF(L133&lt;=7,"7日內截止",IF(L133&lt;=30,"30日內截止","持續追蹤"))))</x:f>
        <x:v>待確認截止日</x:v>
      </x:c>
      <x:c r="N133" s="8"/>
      <x:c r="O133" s="8"/>
      <x:c r="P133" s="9"/>
      <x:c r="Q133" s="9"/>
      <x:c r="R133" s="9"/>
      <x:c r="S133" s="8"/>
      <x:c r="T133" s="9" t="str">
        <x:f>IF(Q133="","",Q133-180)</x:f>
      </x:c>
      <x:c r="U133" s="8"/>
      <x:c r="V133" s="8"/>
      <x:c r="W133" s="8"/>
    </x:row>
    <x:row r="134">
      <x:c r="A134" s="8"/>
      <x:c r="B134" s="9"/>
      <x:c r="C134" s="9"/>
      <x:c r="D134" s="9"/>
      <x:c r="E134" s="9"/>
      <x:c r="F134" s="8"/>
      <x:c r="G134" s="8"/>
      <x:c r="H134" s="10"/>
      <x:c r="I134" s="8"/>
      <x:c r="J134" s="8"/>
      <x:c r="K134" s="8"/>
      <x:c r="L134" s="11" t="str">
        <x:f>IF(E134="","",E134-TODAY())</x:f>
      </x:c>
      <x:c r="M134" s="8" t="str">
        <x:f>IF(E134="","待確認截止日",IF(L134&lt;0,"報名已截止",IF(L134&lt;=7,"7日內截止",IF(L134&lt;=30,"30日內截止","持續追蹤"))))</x:f>
        <x:v>待確認截止日</x:v>
      </x:c>
      <x:c r="N134" s="8"/>
      <x:c r="O134" s="8"/>
      <x:c r="P134" s="9"/>
      <x:c r="Q134" s="9"/>
      <x:c r="R134" s="9"/>
      <x:c r="S134" s="8"/>
      <x:c r="T134" s="9" t="str">
        <x:f>IF(Q134="","",Q134-180)</x:f>
      </x:c>
      <x:c r="U134" s="8"/>
      <x:c r="V134" s="8"/>
      <x:c r="W134" s="8"/>
    </x:row>
    <x:row r="135">
      <x:c r="A135" s="8"/>
      <x:c r="B135" s="9"/>
      <x:c r="C135" s="9"/>
      <x:c r="D135" s="9"/>
      <x:c r="E135" s="9"/>
      <x:c r="F135" s="8"/>
      <x:c r="G135" s="8"/>
      <x:c r="H135" s="10"/>
      <x:c r="I135" s="8"/>
      <x:c r="J135" s="8"/>
      <x:c r="K135" s="8"/>
      <x:c r="L135" s="11" t="str">
        <x:f>IF(E135="","",E135-TODAY())</x:f>
      </x:c>
      <x:c r="M135" s="8" t="str">
        <x:f>IF(E135="","待確認截止日",IF(L135&lt;0,"報名已截止",IF(L135&lt;=7,"7日內截止",IF(L135&lt;=30,"30日內截止","持續追蹤"))))</x:f>
        <x:v>待確認截止日</x:v>
      </x:c>
      <x:c r="N135" s="8"/>
      <x:c r="O135" s="8"/>
      <x:c r="P135" s="9"/>
      <x:c r="Q135" s="9"/>
      <x:c r="R135" s="9"/>
      <x:c r="S135" s="8"/>
      <x:c r="T135" s="9" t="str">
        <x:f>IF(Q135="","",Q135-180)</x:f>
      </x:c>
      <x:c r="U135" s="8"/>
      <x:c r="V135" s="8"/>
      <x:c r="W135" s="8"/>
    </x:row>
    <x:row r="136">
      <x:c r="A136" s="8"/>
      <x:c r="B136" s="9"/>
      <x:c r="C136" s="9"/>
      <x:c r="D136" s="9"/>
      <x:c r="E136" s="9"/>
      <x:c r="F136" s="8"/>
      <x:c r="G136" s="8"/>
      <x:c r="H136" s="10"/>
      <x:c r="I136" s="8"/>
      <x:c r="J136" s="8"/>
      <x:c r="K136" s="8"/>
      <x:c r="L136" s="11" t="str">
        <x:f>IF(E136="","",E136-TODAY())</x:f>
      </x:c>
      <x:c r="M136" s="8" t="str">
        <x:f>IF(E136="","待確認截止日",IF(L136&lt;0,"報名已截止",IF(L136&lt;=7,"7日內截止",IF(L136&lt;=30,"30日內截止","持續追蹤"))))</x:f>
        <x:v>待確認截止日</x:v>
      </x:c>
      <x:c r="N136" s="8"/>
      <x:c r="O136" s="8"/>
      <x:c r="P136" s="9"/>
      <x:c r="Q136" s="9"/>
      <x:c r="R136" s="9"/>
      <x:c r="S136" s="8"/>
      <x:c r="T136" s="9" t="str">
        <x:f>IF(Q136="","",Q136-180)</x:f>
      </x:c>
      <x:c r="U136" s="8"/>
      <x:c r="V136" s="8"/>
      <x:c r="W136" s="8"/>
    </x:row>
    <x:row r="137">
      <x:c r="A137" s="8"/>
      <x:c r="B137" s="9"/>
      <x:c r="C137" s="9"/>
      <x:c r="D137" s="9"/>
      <x:c r="E137" s="9"/>
      <x:c r="F137" s="8"/>
      <x:c r="G137" s="8"/>
      <x:c r="H137" s="10"/>
      <x:c r="I137" s="8"/>
      <x:c r="J137" s="8"/>
      <x:c r="K137" s="8"/>
      <x:c r="L137" s="11" t="str">
        <x:f>IF(E137="","",E137-TODAY())</x:f>
      </x:c>
      <x:c r="M137" s="8" t="str">
        <x:f>IF(E137="","待確認截止日",IF(L137&lt;0,"報名已截止",IF(L137&lt;=7,"7日內截止",IF(L137&lt;=30,"30日內截止","持續追蹤"))))</x:f>
        <x:v>待確認截止日</x:v>
      </x:c>
      <x:c r="N137" s="8"/>
      <x:c r="O137" s="8"/>
      <x:c r="P137" s="9"/>
      <x:c r="Q137" s="9"/>
      <x:c r="R137" s="9"/>
      <x:c r="S137" s="8"/>
      <x:c r="T137" s="9" t="str">
        <x:f>IF(Q137="","",Q137-180)</x:f>
      </x:c>
      <x:c r="U137" s="8"/>
      <x:c r="V137" s="8"/>
      <x:c r="W137" s="8"/>
    </x:row>
    <x:row r="138">
      <x:c r="A138" s="8"/>
      <x:c r="B138" s="9"/>
      <x:c r="C138" s="9"/>
      <x:c r="D138" s="9"/>
      <x:c r="E138" s="9"/>
      <x:c r="F138" s="8"/>
      <x:c r="G138" s="8"/>
      <x:c r="H138" s="10"/>
      <x:c r="I138" s="8"/>
      <x:c r="J138" s="8"/>
      <x:c r="K138" s="8"/>
      <x:c r="L138" s="11" t="str">
        <x:f>IF(E138="","",E138-TODAY())</x:f>
      </x:c>
      <x:c r="M138" s="8" t="str">
        <x:f>IF(E138="","待確認截止日",IF(L138&lt;0,"報名已截止",IF(L138&lt;=7,"7日內截止",IF(L138&lt;=30,"30日內截止","持續追蹤"))))</x:f>
        <x:v>待確認截止日</x:v>
      </x:c>
      <x:c r="N138" s="8"/>
      <x:c r="O138" s="8"/>
      <x:c r="P138" s="9"/>
      <x:c r="Q138" s="9"/>
      <x:c r="R138" s="9"/>
      <x:c r="S138" s="8"/>
      <x:c r="T138" s="9" t="str">
        <x:f>IF(Q138="","",Q138-180)</x:f>
      </x:c>
      <x:c r="U138" s="8"/>
      <x:c r="V138" s="8"/>
      <x:c r="W138" s="8"/>
    </x:row>
    <x:row r="139">
      <x:c r="A139" s="8"/>
      <x:c r="B139" s="9"/>
      <x:c r="C139" s="9"/>
      <x:c r="D139" s="9"/>
      <x:c r="E139" s="9"/>
      <x:c r="F139" s="8"/>
      <x:c r="G139" s="8"/>
      <x:c r="H139" s="10"/>
      <x:c r="I139" s="8"/>
      <x:c r="J139" s="8"/>
      <x:c r="K139" s="8"/>
      <x:c r="L139" s="11" t="str">
        <x:f>IF(E139="","",E139-TODAY())</x:f>
      </x:c>
      <x:c r="M139" s="8" t="str">
        <x:f>IF(E139="","待確認截止日",IF(L139&lt;0,"報名已截止",IF(L139&lt;=7,"7日內截止",IF(L139&lt;=30,"30日內截止","持續追蹤"))))</x:f>
        <x:v>待確認截止日</x:v>
      </x:c>
      <x:c r="N139" s="8"/>
      <x:c r="O139" s="8"/>
      <x:c r="P139" s="9"/>
      <x:c r="Q139" s="9"/>
      <x:c r="R139" s="9"/>
      <x:c r="S139" s="8"/>
      <x:c r="T139" s="9" t="str">
        <x:f>IF(Q139="","",Q139-180)</x:f>
      </x:c>
      <x:c r="U139" s="8"/>
      <x:c r="V139" s="8"/>
      <x:c r="W139" s="8"/>
    </x:row>
    <x:row r="140">
      <x:c r="A140" s="8"/>
      <x:c r="B140" s="9"/>
      <x:c r="C140" s="9"/>
      <x:c r="D140" s="9"/>
      <x:c r="E140" s="9"/>
      <x:c r="F140" s="8"/>
      <x:c r="G140" s="8"/>
      <x:c r="H140" s="10"/>
      <x:c r="I140" s="8"/>
      <x:c r="J140" s="8"/>
      <x:c r="K140" s="8"/>
      <x:c r="L140" s="11" t="str">
        <x:f>IF(E140="","",E140-TODAY())</x:f>
      </x:c>
      <x:c r="M140" s="8" t="str">
        <x:f>IF(E140="","待確認截止日",IF(L140&lt;0,"報名已截止",IF(L140&lt;=7,"7日內截止",IF(L140&lt;=30,"30日內截止","持續追蹤"))))</x:f>
        <x:v>待確認截止日</x:v>
      </x:c>
      <x:c r="N140" s="8"/>
      <x:c r="O140" s="8"/>
      <x:c r="P140" s="9"/>
      <x:c r="Q140" s="9"/>
      <x:c r="R140" s="9"/>
      <x:c r="S140" s="8"/>
      <x:c r="T140" s="9" t="str">
        <x:f>IF(Q140="","",Q140-180)</x:f>
      </x:c>
      <x:c r="U140" s="8"/>
      <x:c r="V140" s="8"/>
      <x:c r="W140" s="8"/>
    </x:row>
    <x:row r="141">
      <x:c r="A141" s="8"/>
      <x:c r="B141" s="9"/>
      <x:c r="C141" s="9"/>
      <x:c r="D141" s="9"/>
      <x:c r="E141" s="9"/>
      <x:c r="F141" s="8"/>
      <x:c r="G141" s="8"/>
      <x:c r="H141" s="10"/>
      <x:c r="I141" s="8"/>
      <x:c r="J141" s="8"/>
      <x:c r="K141" s="8"/>
      <x:c r="L141" s="11" t="str">
        <x:f>IF(E141="","",E141-TODAY())</x:f>
      </x:c>
      <x:c r="M141" s="8" t="str">
        <x:f>IF(E141="","待確認截止日",IF(L141&lt;0,"報名已截止",IF(L141&lt;=7,"7日內截止",IF(L141&lt;=30,"30日內截止","持續追蹤"))))</x:f>
        <x:v>待確認截止日</x:v>
      </x:c>
      <x:c r="N141" s="8"/>
      <x:c r="O141" s="8"/>
      <x:c r="P141" s="9"/>
      <x:c r="Q141" s="9"/>
      <x:c r="R141" s="9"/>
      <x:c r="S141" s="8"/>
      <x:c r="T141" s="9" t="str">
        <x:f>IF(Q141="","",Q141-180)</x:f>
      </x:c>
      <x:c r="U141" s="8"/>
      <x:c r="V141" s="8"/>
      <x:c r="W141" s="8"/>
    </x:row>
    <x:row r="142">
      <x:c r="A142" s="8"/>
      <x:c r="B142" s="9"/>
      <x:c r="C142" s="9"/>
      <x:c r="D142" s="9"/>
      <x:c r="E142" s="9"/>
      <x:c r="F142" s="8"/>
      <x:c r="G142" s="8"/>
      <x:c r="H142" s="10"/>
      <x:c r="I142" s="8"/>
      <x:c r="J142" s="8"/>
      <x:c r="K142" s="8"/>
      <x:c r="L142" s="11" t="str">
        <x:f>IF(E142="","",E142-TODAY())</x:f>
      </x:c>
      <x:c r="M142" s="8" t="str">
        <x:f>IF(E142="","待確認截止日",IF(L142&lt;0,"報名已截止",IF(L142&lt;=7,"7日內截止",IF(L142&lt;=30,"30日內截止","持續追蹤"))))</x:f>
        <x:v>待確認截止日</x:v>
      </x:c>
      <x:c r="N142" s="8"/>
      <x:c r="O142" s="8"/>
      <x:c r="P142" s="9"/>
      <x:c r="Q142" s="9"/>
      <x:c r="R142" s="9"/>
      <x:c r="S142" s="8"/>
      <x:c r="T142" s="9" t="str">
        <x:f>IF(Q142="","",Q142-180)</x:f>
      </x:c>
      <x:c r="U142" s="8"/>
      <x:c r="V142" s="8"/>
      <x:c r="W142" s="8"/>
    </x:row>
    <x:row r="143">
      <x:c r="A143" s="8"/>
      <x:c r="B143" s="9"/>
      <x:c r="C143" s="9"/>
      <x:c r="D143" s="9"/>
      <x:c r="E143" s="9"/>
      <x:c r="F143" s="8"/>
      <x:c r="G143" s="8"/>
      <x:c r="H143" s="10"/>
      <x:c r="I143" s="8"/>
      <x:c r="J143" s="8"/>
      <x:c r="K143" s="8"/>
      <x:c r="L143" s="11" t="str">
        <x:f>IF(E143="","",E143-TODAY())</x:f>
      </x:c>
      <x:c r="M143" s="8" t="str">
        <x:f>IF(E143="","待確認截止日",IF(L143&lt;0,"報名已截止",IF(L143&lt;=7,"7日內截止",IF(L143&lt;=30,"30日內截止","持續追蹤"))))</x:f>
        <x:v>待確認截止日</x:v>
      </x:c>
      <x:c r="N143" s="8"/>
      <x:c r="O143" s="8"/>
      <x:c r="P143" s="9"/>
      <x:c r="Q143" s="9"/>
      <x:c r="R143" s="9"/>
      <x:c r="S143" s="8"/>
      <x:c r="T143" s="9" t="str">
        <x:f>IF(Q143="","",Q143-180)</x:f>
      </x:c>
      <x:c r="U143" s="8"/>
      <x:c r="V143" s="8"/>
      <x:c r="W143" s="8"/>
    </x:row>
    <x:row r="144">
      <x:c r="A144" s="8"/>
      <x:c r="B144" s="9"/>
      <x:c r="C144" s="9"/>
      <x:c r="D144" s="9"/>
      <x:c r="E144" s="9"/>
      <x:c r="F144" s="8"/>
      <x:c r="G144" s="8"/>
      <x:c r="H144" s="10"/>
      <x:c r="I144" s="8"/>
      <x:c r="J144" s="8"/>
      <x:c r="K144" s="8"/>
      <x:c r="L144" s="11" t="str">
        <x:f>IF(E144="","",E144-TODAY())</x:f>
      </x:c>
      <x:c r="M144" s="8" t="str">
        <x:f>IF(E144="","待確認截止日",IF(L144&lt;0,"報名已截止",IF(L144&lt;=7,"7日內截止",IF(L144&lt;=30,"30日內截止","持續追蹤"))))</x:f>
        <x:v>待確認截止日</x:v>
      </x:c>
      <x:c r="N144" s="8"/>
      <x:c r="O144" s="8"/>
      <x:c r="P144" s="9"/>
      <x:c r="Q144" s="9"/>
      <x:c r="R144" s="9"/>
      <x:c r="S144" s="8"/>
      <x:c r="T144" s="9" t="str">
        <x:f>IF(Q144="","",Q144-180)</x:f>
      </x:c>
      <x:c r="U144" s="8"/>
      <x:c r="V144" s="8"/>
      <x:c r="W144" s="8"/>
    </x:row>
    <x:row r="145">
      <x:c r="A145" s="8"/>
      <x:c r="B145" s="9"/>
      <x:c r="C145" s="9"/>
      <x:c r="D145" s="9"/>
      <x:c r="E145" s="9"/>
      <x:c r="F145" s="8"/>
      <x:c r="G145" s="8"/>
      <x:c r="H145" s="10"/>
      <x:c r="I145" s="8"/>
      <x:c r="J145" s="8"/>
      <x:c r="K145" s="8"/>
      <x:c r="L145" s="11" t="str">
        <x:f>IF(E145="","",E145-TODAY())</x:f>
      </x:c>
      <x:c r="M145" s="8" t="str">
        <x:f>IF(E145="","待確認截止日",IF(L145&lt;0,"報名已截止",IF(L145&lt;=7,"7日內截止",IF(L145&lt;=30,"30日內截止","持續追蹤"))))</x:f>
        <x:v>待確認截止日</x:v>
      </x:c>
      <x:c r="N145" s="8"/>
      <x:c r="O145" s="8"/>
      <x:c r="P145" s="9"/>
      <x:c r="Q145" s="9"/>
      <x:c r="R145" s="9"/>
      <x:c r="S145" s="8"/>
      <x:c r="T145" s="9" t="str">
        <x:f>IF(Q145="","",Q145-180)</x:f>
      </x:c>
      <x:c r="U145" s="8"/>
      <x:c r="V145" s="8"/>
      <x:c r="W145" s="8"/>
    </x:row>
    <x:row r="146">
      <x:c r="A146" s="8"/>
      <x:c r="B146" s="9"/>
      <x:c r="C146" s="9"/>
      <x:c r="D146" s="9"/>
      <x:c r="E146" s="9"/>
      <x:c r="F146" s="8"/>
      <x:c r="G146" s="8"/>
      <x:c r="H146" s="10"/>
      <x:c r="I146" s="8"/>
      <x:c r="J146" s="8"/>
      <x:c r="K146" s="8"/>
      <x:c r="L146" s="11" t="str">
        <x:f>IF(E146="","",E146-TODAY())</x:f>
      </x:c>
      <x:c r="M146" s="8" t="str">
        <x:f>IF(E146="","待確認截止日",IF(L146&lt;0,"報名已截止",IF(L146&lt;=7,"7日內截止",IF(L146&lt;=30,"30日內截止","持續追蹤"))))</x:f>
        <x:v>待確認截止日</x:v>
      </x:c>
      <x:c r="N146" s="8"/>
      <x:c r="O146" s="8"/>
      <x:c r="P146" s="9"/>
      <x:c r="Q146" s="9"/>
      <x:c r="R146" s="9"/>
      <x:c r="S146" s="8"/>
      <x:c r="T146" s="9" t="str">
        <x:f>IF(Q146="","",Q146-180)</x:f>
      </x:c>
      <x:c r="U146" s="8"/>
      <x:c r="V146" s="8"/>
      <x:c r="W146" s="8"/>
    </x:row>
    <x:row r="147">
      <x:c r="A147" s="8"/>
      <x:c r="B147" s="9"/>
      <x:c r="C147" s="9"/>
      <x:c r="D147" s="9"/>
      <x:c r="E147" s="9"/>
      <x:c r="F147" s="8"/>
      <x:c r="G147" s="8"/>
      <x:c r="H147" s="10"/>
      <x:c r="I147" s="8"/>
      <x:c r="J147" s="8"/>
      <x:c r="K147" s="8"/>
      <x:c r="L147" s="11" t="str">
        <x:f>IF(E147="","",E147-TODAY())</x:f>
      </x:c>
      <x:c r="M147" s="8" t="str">
        <x:f>IF(E147="","待確認截止日",IF(L147&lt;0,"報名已截止",IF(L147&lt;=7,"7日內截止",IF(L147&lt;=30,"30日內截止","持續追蹤"))))</x:f>
        <x:v>待確認截止日</x:v>
      </x:c>
      <x:c r="N147" s="8"/>
      <x:c r="O147" s="8"/>
      <x:c r="P147" s="9"/>
      <x:c r="Q147" s="9"/>
      <x:c r="R147" s="9"/>
      <x:c r="S147" s="8"/>
      <x:c r="T147" s="9" t="str">
        <x:f>IF(Q147="","",Q147-180)</x:f>
      </x:c>
      <x:c r="U147" s="8"/>
      <x:c r="V147" s="8"/>
      <x:c r="W147" s="8"/>
    </x:row>
    <x:row r="148">
      <x:c r="A148" s="8"/>
      <x:c r="B148" s="9"/>
      <x:c r="C148" s="9"/>
      <x:c r="D148" s="9"/>
      <x:c r="E148" s="9"/>
      <x:c r="F148" s="8"/>
      <x:c r="G148" s="8"/>
      <x:c r="H148" s="10"/>
      <x:c r="I148" s="8"/>
      <x:c r="J148" s="8"/>
      <x:c r="K148" s="8"/>
      <x:c r="L148" s="11" t="str">
        <x:f>IF(E148="","",E148-TODAY())</x:f>
      </x:c>
      <x:c r="M148" s="8" t="str">
        <x:f>IF(E148="","待確認截止日",IF(L148&lt;0,"報名已截止",IF(L148&lt;=7,"7日內截止",IF(L148&lt;=30,"30日內截止","持續追蹤"))))</x:f>
        <x:v>待確認截止日</x:v>
      </x:c>
      <x:c r="N148" s="8"/>
      <x:c r="O148" s="8"/>
      <x:c r="P148" s="9"/>
      <x:c r="Q148" s="9"/>
      <x:c r="R148" s="9"/>
      <x:c r="S148" s="8"/>
      <x:c r="T148" s="9" t="str">
        <x:f>IF(Q148="","",Q148-180)</x:f>
      </x:c>
      <x:c r="U148" s="8"/>
      <x:c r="V148" s="8"/>
      <x:c r="W148" s="8"/>
    </x:row>
    <x:row r="149">
      <x:c r="A149" s="8"/>
      <x:c r="B149" s="9"/>
      <x:c r="C149" s="9"/>
      <x:c r="D149" s="9"/>
      <x:c r="E149" s="9"/>
      <x:c r="F149" s="8"/>
      <x:c r="G149" s="8"/>
      <x:c r="H149" s="10"/>
      <x:c r="I149" s="8"/>
      <x:c r="J149" s="8"/>
      <x:c r="K149" s="8"/>
      <x:c r="L149" s="11" t="str">
        <x:f>IF(E149="","",E149-TODAY())</x:f>
      </x:c>
      <x:c r="M149" s="8" t="str">
        <x:f>IF(E149="","待確認截止日",IF(L149&lt;0,"報名已截止",IF(L149&lt;=7,"7日內截止",IF(L149&lt;=30,"30日內截止","持續追蹤"))))</x:f>
        <x:v>待確認截止日</x:v>
      </x:c>
      <x:c r="N149" s="8"/>
      <x:c r="O149" s="8"/>
      <x:c r="P149" s="9"/>
      <x:c r="Q149" s="9"/>
      <x:c r="R149" s="9"/>
      <x:c r="S149" s="8"/>
      <x:c r="T149" s="9" t="str">
        <x:f>IF(Q149="","",Q149-180)</x:f>
      </x:c>
      <x:c r="U149" s="8"/>
      <x:c r="V149" s="8"/>
      <x:c r="W149" s="8"/>
    </x:row>
    <x:row r="150">
      <x:c r="A150" s="8"/>
      <x:c r="B150" s="9"/>
      <x:c r="C150" s="9"/>
      <x:c r="D150" s="9"/>
      <x:c r="E150" s="9"/>
      <x:c r="F150" s="8"/>
      <x:c r="G150" s="8"/>
      <x:c r="H150" s="10"/>
      <x:c r="I150" s="8"/>
      <x:c r="J150" s="8"/>
      <x:c r="K150" s="8"/>
      <x:c r="L150" s="11" t="str">
        <x:f>IF(E150="","",E150-TODAY())</x:f>
      </x:c>
      <x:c r="M150" s="8" t="str">
        <x:f>IF(E150="","待確認截止日",IF(L150&lt;0,"報名已截止",IF(L150&lt;=7,"7日內截止",IF(L150&lt;=30,"30日內截止","持續追蹤"))))</x:f>
        <x:v>待確認截止日</x:v>
      </x:c>
      <x:c r="N150" s="8"/>
      <x:c r="O150" s="8"/>
      <x:c r="P150" s="9"/>
      <x:c r="Q150" s="9"/>
      <x:c r="R150" s="9"/>
      <x:c r="S150" s="8"/>
      <x:c r="T150" s="9" t="str">
        <x:f>IF(Q150="","",Q150-180)</x:f>
      </x:c>
      <x:c r="U150" s="8"/>
      <x:c r="V150" s="8"/>
      <x:c r="W150" s="8"/>
    </x:row>
    <x:row r="151">
      <x:c r="A151" s="8"/>
      <x:c r="B151" s="9"/>
      <x:c r="C151" s="9"/>
      <x:c r="D151" s="9"/>
      <x:c r="E151" s="9"/>
      <x:c r="F151" s="8"/>
      <x:c r="G151" s="8"/>
      <x:c r="H151" s="10"/>
      <x:c r="I151" s="8"/>
      <x:c r="J151" s="8"/>
      <x:c r="K151" s="8"/>
      <x:c r="L151" s="11" t="str">
        <x:f>IF(E151="","",E151-TODAY())</x:f>
      </x:c>
      <x:c r="M151" s="8" t="str">
        <x:f>IF(E151="","待確認截止日",IF(L151&lt;0,"報名已截止",IF(L151&lt;=7,"7日內截止",IF(L151&lt;=30,"30日內截止","持續追蹤"))))</x:f>
        <x:v>待確認截止日</x:v>
      </x:c>
      <x:c r="N151" s="8"/>
      <x:c r="O151" s="8"/>
      <x:c r="P151" s="9"/>
      <x:c r="Q151" s="9"/>
      <x:c r="R151" s="9"/>
      <x:c r="S151" s="8"/>
      <x:c r="T151" s="9" t="str">
        <x:f>IF(Q151="","",Q151-180)</x:f>
      </x:c>
      <x:c r="U151" s="8"/>
      <x:c r="V151" s="8"/>
      <x:c r="W151" s="8"/>
    </x:row>
    <x:row r="152">
      <x:c r="A152" s="8"/>
      <x:c r="B152" s="9"/>
      <x:c r="C152" s="9"/>
      <x:c r="D152" s="9"/>
      <x:c r="E152" s="9"/>
      <x:c r="F152" s="8"/>
      <x:c r="G152" s="8"/>
      <x:c r="H152" s="10"/>
      <x:c r="I152" s="8"/>
      <x:c r="J152" s="8"/>
      <x:c r="K152" s="8"/>
      <x:c r="L152" s="11" t="str">
        <x:f>IF(E152="","",E152-TODAY())</x:f>
      </x:c>
      <x:c r="M152" s="8" t="str">
        <x:f>IF(E152="","待確認截止日",IF(L152&lt;0,"報名已截止",IF(L152&lt;=7,"7日內截止",IF(L152&lt;=30,"30日內截止","持續追蹤"))))</x:f>
        <x:v>待確認截止日</x:v>
      </x:c>
      <x:c r="N152" s="8"/>
      <x:c r="O152" s="8"/>
      <x:c r="P152" s="9"/>
      <x:c r="Q152" s="9"/>
      <x:c r="R152" s="9"/>
      <x:c r="S152" s="8"/>
      <x:c r="T152" s="9" t="str">
        <x:f>IF(Q152="","",Q152-180)</x:f>
      </x:c>
      <x:c r="U152" s="8"/>
      <x:c r="V152" s="8"/>
      <x:c r="W152" s="8"/>
    </x:row>
    <x:row r="153">
      <x:c r="A153" s="8"/>
      <x:c r="B153" s="9"/>
      <x:c r="C153" s="9"/>
      <x:c r="D153" s="9"/>
      <x:c r="E153" s="9"/>
      <x:c r="F153" s="8"/>
      <x:c r="G153" s="8"/>
      <x:c r="H153" s="10"/>
      <x:c r="I153" s="8"/>
      <x:c r="J153" s="8"/>
      <x:c r="K153" s="8"/>
      <x:c r="L153" s="11" t="str">
        <x:f>IF(E153="","",E153-TODAY())</x:f>
      </x:c>
      <x:c r="M153" s="8" t="str">
        <x:f>IF(E153="","待確認截止日",IF(L153&lt;0,"報名已截止",IF(L153&lt;=7,"7日內截止",IF(L153&lt;=30,"30日內截止","持續追蹤"))))</x:f>
        <x:v>待確認截止日</x:v>
      </x:c>
      <x:c r="N153" s="8"/>
      <x:c r="O153" s="8"/>
      <x:c r="P153" s="9"/>
      <x:c r="Q153" s="9"/>
      <x:c r="R153" s="9"/>
      <x:c r="S153" s="8"/>
      <x:c r="T153" s="9" t="str">
        <x:f>IF(Q153="","",Q153-180)</x:f>
      </x:c>
      <x:c r="U153" s="8"/>
      <x:c r="V153" s="8"/>
      <x:c r="W153" s="8"/>
    </x:row>
    <x:row r="154">
      <x:c r="A154" s="8"/>
      <x:c r="B154" s="9"/>
      <x:c r="C154" s="9"/>
      <x:c r="D154" s="9"/>
      <x:c r="E154" s="9"/>
      <x:c r="F154" s="8"/>
      <x:c r="G154" s="8"/>
      <x:c r="H154" s="10"/>
      <x:c r="I154" s="8"/>
      <x:c r="J154" s="8"/>
      <x:c r="K154" s="8"/>
      <x:c r="L154" s="11" t="str">
        <x:f>IF(E154="","",E154-TODAY())</x:f>
      </x:c>
      <x:c r="M154" s="8" t="str">
        <x:f>IF(E154="","待確認截止日",IF(L154&lt;0,"報名已截止",IF(L154&lt;=7,"7日內截止",IF(L154&lt;=30,"30日內截止","持續追蹤"))))</x:f>
        <x:v>待確認截止日</x:v>
      </x:c>
      <x:c r="N154" s="8"/>
      <x:c r="O154" s="8"/>
      <x:c r="P154" s="9"/>
      <x:c r="Q154" s="9"/>
      <x:c r="R154" s="9"/>
      <x:c r="S154" s="8"/>
      <x:c r="T154" s="9" t="str">
        <x:f>IF(Q154="","",Q154-180)</x:f>
      </x:c>
      <x:c r="U154" s="8"/>
      <x:c r="V154" s="8"/>
      <x:c r="W154" s="8"/>
    </x:row>
    <x:row r="155">
      <x:c r="A155" s="8"/>
      <x:c r="B155" s="9"/>
      <x:c r="C155" s="9"/>
      <x:c r="D155" s="9"/>
      <x:c r="E155" s="9"/>
      <x:c r="F155" s="8"/>
      <x:c r="G155" s="8"/>
      <x:c r="H155" s="10"/>
      <x:c r="I155" s="8"/>
      <x:c r="J155" s="8"/>
      <x:c r="K155" s="8"/>
      <x:c r="L155" s="11" t="str">
        <x:f>IF(E155="","",E155-TODAY())</x:f>
      </x:c>
      <x:c r="M155" s="8" t="str">
        <x:f>IF(E155="","待確認截止日",IF(L155&lt;0,"報名已截止",IF(L155&lt;=7,"7日內截止",IF(L155&lt;=30,"30日內截止","持續追蹤"))))</x:f>
        <x:v>待確認截止日</x:v>
      </x:c>
      <x:c r="N155" s="8"/>
      <x:c r="O155" s="8"/>
      <x:c r="P155" s="9"/>
      <x:c r="Q155" s="9"/>
      <x:c r="R155" s="9"/>
      <x:c r="S155" s="8"/>
      <x:c r="T155" s="9" t="str">
        <x:f>IF(Q155="","",Q155-180)</x:f>
      </x:c>
      <x:c r="U155" s="8"/>
      <x:c r="V155" s="8"/>
      <x:c r="W155" s="8"/>
    </x:row>
    <x:row r="156">
      <x:c r="A156" s="8"/>
      <x:c r="B156" s="9"/>
      <x:c r="C156" s="9"/>
      <x:c r="D156" s="9"/>
      <x:c r="E156" s="9"/>
      <x:c r="F156" s="8"/>
      <x:c r="G156" s="8"/>
      <x:c r="H156" s="10"/>
      <x:c r="I156" s="8"/>
      <x:c r="J156" s="8"/>
      <x:c r="K156" s="8"/>
      <x:c r="L156" s="11" t="str">
        <x:f>IF(E156="","",E156-TODAY())</x:f>
      </x:c>
      <x:c r="M156" s="8" t="str">
        <x:f>IF(E156="","待確認截止日",IF(L156&lt;0,"報名已截止",IF(L156&lt;=7,"7日內截止",IF(L156&lt;=30,"30日內截止","持續追蹤"))))</x:f>
        <x:v>待確認截止日</x:v>
      </x:c>
      <x:c r="N156" s="8"/>
      <x:c r="O156" s="8"/>
      <x:c r="P156" s="9"/>
      <x:c r="Q156" s="9"/>
      <x:c r="R156" s="9"/>
      <x:c r="S156" s="8"/>
      <x:c r="T156" s="9" t="str">
        <x:f>IF(Q156="","",Q156-180)</x:f>
      </x:c>
      <x:c r="U156" s="8"/>
      <x:c r="V156" s="8"/>
      <x:c r="W156" s="8"/>
    </x:row>
    <x:row r="157">
      <x:c r="A157" s="8"/>
      <x:c r="B157" s="9"/>
      <x:c r="C157" s="9"/>
      <x:c r="D157" s="9"/>
      <x:c r="E157" s="9"/>
      <x:c r="F157" s="8"/>
      <x:c r="G157" s="8"/>
      <x:c r="H157" s="10"/>
      <x:c r="I157" s="8"/>
      <x:c r="J157" s="8"/>
      <x:c r="K157" s="8"/>
      <x:c r="L157" s="11" t="str">
        <x:f>IF(E157="","",E157-TODAY())</x:f>
      </x:c>
      <x:c r="M157" s="8" t="str">
        <x:f>IF(E157="","待確認截止日",IF(L157&lt;0,"報名已截止",IF(L157&lt;=7,"7日內截止",IF(L157&lt;=30,"30日內截止","持續追蹤"))))</x:f>
        <x:v>待確認截止日</x:v>
      </x:c>
      <x:c r="N157" s="8"/>
      <x:c r="O157" s="8"/>
      <x:c r="P157" s="9"/>
      <x:c r="Q157" s="9"/>
      <x:c r="R157" s="9"/>
      <x:c r="S157" s="8"/>
      <x:c r="T157" s="9" t="str">
        <x:f>IF(Q157="","",Q157-180)</x:f>
      </x:c>
      <x:c r="U157" s="8"/>
      <x:c r="V157" s="8"/>
      <x:c r="W157" s="8"/>
    </x:row>
    <x:row r="158">
      <x:c r="A158" s="8"/>
      <x:c r="B158" s="9"/>
      <x:c r="C158" s="9"/>
      <x:c r="D158" s="9"/>
      <x:c r="E158" s="9"/>
      <x:c r="F158" s="8"/>
      <x:c r="G158" s="8"/>
      <x:c r="H158" s="10"/>
      <x:c r="I158" s="8"/>
      <x:c r="J158" s="8"/>
      <x:c r="K158" s="8"/>
      <x:c r="L158" s="11" t="str">
        <x:f>IF(E158="","",E158-TODAY())</x:f>
      </x:c>
      <x:c r="M158" s="8" t="str">
        <x:f>IF(E158="","待確認截止日",IF(L158&lt;0,"報名已截止",IF(L158&lt;=7,"7日內截止",IF(L158&lt;=30,"30日內截止","持續追蹤"))))</x:f>
        <x:v>待確認截止日</x:v>
      </x:c>
      <x:c r="N158" s="8"/>
      <x:c r="O158" s="8"/>
      <x:c r="P158" s="9"/>
      <x:c r="Q158" s="9"/>
      <x:c r="R158" s="9"/>
      <x:c r="S158" s="8"/>
      <x:c r="T158" s="9" t="str">
        <x:f>IF(Q158="","",Q158-180)</x:f>
      </x:c>
      <x:c r="U158" s="8"/>
      <x:c r="V158" s="8"/>
      <x:c r="W158" s="8"/>
    </x:row>
    <x:row r="159">
      <x:c r="A159" s="8"/>
      <x:c r="B159" s="9"/>
      <x:c r="C159" s="9"/>
      <x:c r="D159" s="9"/>
      <x:c r="E159" s="9"/>
      <x:c r="F159" s="8"/>
      <x:c r="G159" s="8"/>
      <x:c r="H159" s="10"/>
      <x:c r="I159" s="8"/>
      <x:c r="J159" s="8"/>
      <x:c r="K159" s="8"/>
      <x:c r="L159" s="11" t="str">
        <x:f>IF(E159="","",E159-TODAY())</x:f>
      </x:c>
      <x:c r="M159" s="8" t="str">
        <x:f>IF(E159="","待確認截止日",IF(L159&lt;0,"報名已截止",IF(L159&lt;=7,"7日內截止",IF(L159&lt;=30,"30日內截止","持續追蹤"))))</x:f>
        <x:v>待確認截止日</x:v>
      </x:c>
      <x:c r="N159" s="8"/>
      <x:c r="O159" s="8"/>
      <x:c r="P159" s="9"/>
      <x:c r="Q159" s="9"/>
      <x:c r="R159" s="9"/>
      <x:c r="S159" s="8"/>
      <x:c r="T159" s="9" t="str">
        <x:f>IF(Q159="","",Q159-180)</x:f>
      </x:c>
      <x:c r="U159" s="8"/>
      <x:c r="V159" s="8"/>
      <x:c r="W159" s="8"/>
    </x:row>
    <x:row r="160">
      <x:c r="A160" s="8"/>
      <x:c r="B160" s="9"/>
      <x:c r="C160" s="9"/>
      <x:c r="D160" s="9"/>
      <x:c r="E160" s="9"/>
      <x:c r="F160" s="8"/>
      <x:c r="G160" s="8"/>
      <x:c r="H160" s="10"/>
      <x:c r="I160" s="8"/>
      <x:c r="J160" s="8"/>
      <x:c r="K160" s="8"/>
      <x:c r="L160" s="11" t="str">
        <x:f>IF(E160="","",E160-TODAY())</x:f>
      </x:c>
      <x:c r="M160" s="8" t="str">
        <x:f>IF(E160="","待確認截止日",IF(L160&lt;0,"報名已截止",IF(L160&lt;=7,"7日內截止",IF(L160&lt;=30,"30日內截止","持續追蹤"))))</x:f>
        <x:v>待確認截止日</x:v>
      </x:c>
      <x:c r="N160" s="8"/>
      <x:c r="O160" s="8"/>
      <x:c r="P160" s="9"/>
      <x:c r="Q160" s="9"/>
      <x:c r="R160" s="9"/>
      <x:c r="S160" s="8"/>
      <x:c r="T160" s="9" t="str">
        <x:f>IF(Q160="","",Q160-180)</x:f>
      </x:c>
      <x:c r="U160" s="8"/>
      <x:c r="V160" s="8"/>
      <x:c r="W160" s="8"/>
    </x:row>
    <x:row r="161">
      <x:c r="A161" s="8"/>
      <x:c r="B161" s="9"/>
      <x:c r="C161" s="9"/>
      <x:c r="D161" s="9"/>
      <x:c r="E161" s="9"/>
      <x:c r="F161" s="8"/>
      <x:c r="G161" s="8"/>
      <x:c r="H161" s="10"/>
      <x:c r="I161" s="8"/>
      <x:c r="J161" s="8"/>
      <x:c r="K161" s="8"/>
      <x:c r="L161" s="11" t="str">
        <x:f>IF(E161="","",E161-TODAY())</x:f>
      </x:c>
      <x:c r="M161" s="8" t="str">
        <x:f>IF(E161="","待確認截止日",IF(L161&lt;0,"報名已截止",IF(L161&lt;=7,"7日內截止",IF(L161&lt;=30,"30日內截止","持續追蹤"))))</x:f>
        <x:v>待確認截止日</x:v>
      </x:c>
      <x:c r="N161" s="8"/>
      <x:c r="O161" s="8"/>
      <x:c r="P161" s="9"/>
      <x:c r="Q161" s="9"/>
      <x:c r="R161" s="9"/>
      <x:c r="S161" s="8"/>
      <x:c r="T161" s="9" t="str">
        <x:f>IF(Q161="","",Q161-180)</x:f>
      </x:c>
      <x:c r="U161" s="8"/>
      <x:c r="V161" s="8"/>
      <x:c r="W161" s="8"/>
    </x:row>
    <x:row r="162">
      <x:c r="A162" s="8"/>
      <x:c r="B162" s="9"/>
      <x:c r="C162" s="9"/>
      <x:c r="D162" s="9"/>
      <x:c r="E162" s="9"/>
      <x:c r="F162" s="8"/>
      <x:c r="G162" s="8"/>
      <x:c r="H162" s="10"/>
      <x:c r="I162" s="8"/>
      <x:c r="J162" s="8"/>
      <x:c r="K162" s="8"/>
      <x:c r="L162" s="11" t="str">
        <x:f>IF(E162="","",E162-TODAY())</x:f>
      </x:c>
      <x:c r="M162" s="8" t="str">
        <x:f>IF(E162="","待確認截止日",IF(L162&lt;0,"報名已截止",IF(L162&lt;=7,"7日內截止",IF(L162&lt;=30,"30日內截止","持續追蹤"))))</x:f>
        <x:v>待確認截止日</x:v>
      </x:c>
      <x:c r="N162" s="8"/>
      <x:c r="O162" s="8"/>
      <x:c r="P162" s="9"/>
      <x:c r="Q162" s="9"/>
      <x:c r="R162" s="9"/>
      <x:c r="S162" s="8"/>
      <x:c r="T162" s="9" t="str">
        <x:f>IF(Q162="","",Q162-180)</x:f>
      </x:c>
      <x:c r="U162" s="8"/>
      <x:c r="V162" s="8"/>
      <x:c r="W162" s="8"/>
    </x:row>
    <x:row r="163">
      <x:c r="A163" s="8"/>
      <x:c r="B163" s="9"/>
      <x:c r="C163" s="9"/>
      <x:c r="D163" s="9"/>
      <x:c r="E163" s="9"/>
      <x:c r="F163" s="8"/>
      <x:c r="G163" s="8"/>
      <x:c r="H163" s="10"/>
      <x:c r="I163" s="8"/>
      <x:c r="J163" s="8"/>
      <x:c r="K163" s="8"/>
      <x:c r="L163" s="11" t="str">
        <x:f>IF(E163="","",E163-TODAY())</x:f>
      </x:c>
      <x:c r="M163" s="8" t="str">
        <x:f>IF(E163="","待確認截止日",IF(L163&lt;0,"報名已截止",IF(L163&lt;=7,"7日內截止",IF(L163&lt;=30,"30日內截止","持續追蹤"))))</x:f>
        <x:v>待確認截止日</x:v>
      </x:c>
      <x:c r="N163" s="8"/>
      <x:c r="O163" s="8"/>
      <x:c r="P163" s="9"/>
      <x:c r="Q163" s="9"/>
      <x:c r="R163" s="9"/>
      <x:c r="S163" s="8"/>
      <x:c r="T163" s="9" t="str">
        <x:f>IF(Q163="","",Q163-180)</x:f>
      </x:c>
      <x:c r="U163" s="8"/>
      <x:c r="V163" s="8"/>
      <x:c r="W163" s="8"/>
    </x:row>
    <x:row r="164">
      <x:c r="A164" s="8"/>
      <x:c r="B164" s="9"/>
      <x:c r="C164" s="9"/>
      <x:c r="D164" s="9"/>
      <x:c r="E164" s="9"/>
      <x:c r="F164" s="8"/>
      <x:c r="G164" s="8"/>
      <x:c r="H164" s="10"/>
      <x:c r="I164" s="8"/>
      <x:c r="J164" s="8"/>
      <x:c r="K164" s="8"/>
      <x:c r="L164" s="11" t="str">
        <x:f>IF(E164="","",E164-TODAY())</x:f>
      </x:c>
      <x:c r="M164" s="8" t="str">
        <x:f>IF(E164="","待確認截止日",IF(L164&lt;0,"報名已截止",IF(L164&lt;=7,"7日內截止",IF(L164&lt;=30,"30日內截止","持續追蹤"))))</x:f>
        <x:v>待確認截止日</x:v>
      </x:c>
      <x:c r="N164" s="8"/>
      <x:c r="O164" s="8"/>
      <x:c r="P164" s="9"/>
      <x:c r="Q164" s="9"/>
      <x:c r="R164" s="9"/>
      <x:c r="S164" s="8"/>
      <x:c r="T164" s="9" t="str">
        <x:f>IF(Q164="","",Q164-180)</x:f>
      </x:c>
      <x:c r="U164" s="8"/>
      <x:c r="V164" s="8"/>
      <x:c r="W164" s="8"/>
    </x:row>
    <x:row r="165">
      <x:c r="A165" s="8"/>
      <x:c r="B165" s="9"/>
      <x:c r="C165" s="9"/>
      <x:c r="D165" s="9"/>
      <x:c r="E165" s="9"/>
      <x:c r="F165" s="8"/>
      <x:c r="G165" s="8"/>
      <x:c r="H165" s="10"/>
      <x:c r="I165" s="8"/>
      <x:c r="J165" s="8"/>
      <x:c r="K165" s="8"/>
      <x:c r="L165" s="11" t="str">
        <x:f>IF(E165="","",E165-TODAY())</x:f>
      </x:c>
      <x:c r="M165" s="8" t="str">
        <x:f>IF(E165="","待確認截止日",IF(L165&lt;0,"報名已截止",IF(L165&lt;=7,"7日內截止",IF(L165&lt;=30,"30日內截止","持續追蹤"))))</x:f>
        <x:v>待確認截止日</x:v>
      </x:c>
      <x:c r="N165" s="8"/>
      <x:c r="O165" s="8"/>
      <x:c r="P165" s="9"/>
      <x:c r="Q165" s="9"/>
      <x:c r="R165" s="9"/>
      <x:c r="S165" s="8"/>
      <x:c r="T165" s="9" t="str">
        <x:f>IF(Q165="","",Q165-180)</x:f>
      </x:c>
      <x:c r="U165" s="8"/>
      <x:c r="V165" s="8"/>
      <x:c r="W165" s="8"/>
    </x:row>
    <x:row r="166">
      <x:c r="A166" s="8"/>
      <x:c r="B166" s="9"/>
      <x:c r="C166" s="9"/>
      <x:c r="D166" s="9"/>
      <x:c r="E166" s="9"/>
      <x:c r="F166" s="8"/>
      <x:c r="G166" s="8"/>
      <x:c r="H166" s="10"/>
      <x:c r="I166" s="8"/>
      <x:c r="J166" s="8"/>
      <x:c r="K166" s="8"/>
      <x:c r="L166" s="11" t="str">
        <x:f>IF(E166="","",E166-TODAY())</x:f>
      </x:c>
      <x:c r="M166" s="8" t="str">
        <x:f>IF(E166="","待確認截止日",IF(L166&lt;0,"報名已截止",IF(L166&lt;=7,"7日內截止",IF(L166&lt;=30,"30日內截止","持續追蹤"))))</x:f>
        <x:v>待確認截止日</x:v>
      </x:c>
      <x:c r="N166" s="8"/>
      <x:c r="O166" s="8"/>
      <x:c r="P166" s="9"/>
      <x:c r="Q166" s="9"/>
      <x:c r="R166" s="9"/>
      <x:c r="S166" s="8"/>
      <x:c r="T166" s="9" t="str">
        <x:f>IF(Q166="","",Q166-180)</x:f>
      </x:c>
      <x:c r="U166" s="8"/>
      <x:c r="V166" s="8"/>
      <x:c r="W166" s="8"/>
    </x:row>
    <x:row r="167">
      <x:c r="A167" s="8"/>
      <x:c r="B167" s="9"/>
      <x:c r="C167" s="9"/>
      <x:c r="D167" s="9"/>
      <x:c r="E167" s="9"/>
      <x:c r="F167" s="8"/>
      <x:c r="G167" s="8"/>
      <x:c r="H167" s="10"/>
      <x:c r="I167" s="8"/>
      <x:c r="J167" s="8"/>
      <x:c r="K167" s="8"/>
      <x:c r="L167" s="11" t="str">
        <x:f>IF(E167="","",E167-TODAY())</x:f>
      </x:c>
      <x:c r="M167" s="8" t="str">
        <x:f>IF(E167="","待確認截止日",IF(L167&lt;0,"報名已截止",IF(L167&lt;=7,"7日內截止",IF(L167&lt;=30,"30日內截止","持續追蹤"))))</x:f>
        <x:v>待確認截止日</x:v>
      </x:c>
      <x:c r="N167" s="8"/>
      <x:c r="O167" s="8"/>
      <x:c r="P167" s="9"/>
      <x:c r="Q167" s="9"/>
      <x:c r="R167" s="9"/>
      <x:c r="S167" s="8"/>
      <x:c r="T167" s="9" t="str">
        <x:f>IF(Q167="","",Q167-180)</x:f>
      </x:c>
      <x:c r="U167" s="8"/>
      <x:c r="V167" s="8"/>
      <x:c r="W167" s="8"/>
    </x:row>
    <x:row r="168">
      <x:c r="A168" s="8"/>
      <x:c r="B168" s="9"/>
      <x:c r="C168" s="9"/>
      <x:c r="D168" s="9"/>
      <x:c r="E168" s="9"/>
      <x:c r="F168" s="8"/>
      <x:c r="G168" s="8"/>
      <x:c r="H168" s="10"/>
      <x:c r="I168" s="8"/>
      <x:c r="J168" s="8"/>
      <x:c r="K168" s="8"/>
      <x:c r="L168" s="11" t="str">
        <x:f>IF(E168="","",E168-TODAY())</x:f>
      </x:c>
      <x:c r="M168" s="8" t="str">
        <x:f>IF(E168="","待確認截止日",IF(L168&lt;0,"報名已截止",IF(L168&lt;=7,"7日內截止",IF(L168&lt;=30,"30日內截止","持續追蹤"))))</x:f>
        <x:v>待確認截止日</x:v>
      </x:c>
      <x:c r="N168" s="8"/>
      <x:c r="O168" s="8"/>
      <x:c r="P168" s="9"/>
      <x:c r="Q168" s="9"/>
      <x:c r="R168" s="9"/>
      <x:c r="S168" s="8"/>
      <x:c r="T168" s="9" t="str">
        <x:f>IF(Q168="","",Q168-180)</x:f>
      </x:c>
      <x:c r="U168" s="8"/>
      <x:c r="V168" s="8"/>
      <x:c r="W168" s="8"/>
    </x:row>
    <x:row r="169">
      <x:c r="A169" s="8"/>
      <x:c r="B169" s="9"/>
      <x:c r="C169" s="9"/>
      <x:c r="D169" s="9"/>
      <x:c r="E169" s="9"/>
      <x:c r="F169" s="8"/>
      <x:c r="G169" s="8"/>
      <x:c r="H169" s="10"/>
      <x:c r="I169" s="8"/>
      <x:c r="J169" s="8"/>
      <x:c r="K169" s="8"/>
      <x:c r="L169" s="11" t="str">
        <x:f>IF(E169="","",E169-TODAY())</x:f>
      </x:c>
      <x:c r="M169" s="8" t="str">
        <x:f>IF(E169="","待確認截止日",IF(L169&lt;0,"報名已截止",IF(L169&lt;=7,"7日內截止",IF(L169&lt;=30,"30日內截止","持續追蹤"))))</x:f>
        <x:v>待確認截止日</x:v>
      </x:c>
      <x:c r="N169" s="8"/>
      <x:c r="O169" s="8"/>
      <x:c r="P169" s="9"/>
      <x:c r="Q169" s="9"/>
      <x:c r="R169" s="9"/>
      <x:c r="S169" s="8"/>
      <x:c r="T169" s="9" t="str">
        <x:f>IF(Q169="","",Q169-180)</x:f>
      </x:c>
      <x:c r="U169" s="8"/>
      <x:c r="V169" s="8"/>
      <x:c r="W169" s="8"/>
    </x:row>
    <x:row r="170">
      <x:c r="A170" s="8"/>
      <x:c r="B170" s="9"/>
      <x:c r="C170" s="9"/>
      <x:c r="D170" s="9"/>
      <x:c r="E170" s="9"/>
      <x:c r="F170" s="8"/>
      <x:c r="G170" s="8"/>
      <x:c r="H170" s="10"/>
      <x:c r="I170" s="8"/>
      <x:c r="J170" s="8"/>
      <x:c r="K170" s="8"/>
      <x:c r="L170" s="11" t="str">
        <x:f>IF(E170="","",E170-TODAY())</x:f>
      </x:c>
      <x:c r="M170" s="8" t="str">
        <x:f>IF(E170="","待確認截止日",IF(L170&lt;0,"報名已截止",IF(L170&lt;=7,"7日內截止",IF(L170&lt;=30,"30日內截止","持續追蹤"))))</x:f>
        <x:v>待確認截止日</x:v>
      </x:c>
      <x:c r="N170" s="8"/>
      <x:c r="O170" s="8"/>
      <x:c r="P170" s="9"/>
      <x:c r="Q170" s="9"/>
      <x:c r="R170" s="9"/>
      <x:c r="S170" s="8"/>
      <x:c r="T170" s="9" t="str">
        <x:f>IF(Q170="","",Q170-180)</x:f>
      </x:c>
      <x:c r="U170" s="8"/>
      <x:c r="V170" s="8"/>
      <x:c r="W170" s="8"/>
    </x:row>
    <x:row r="171">
      <x:c r="A171" s="8"/>
      <x:c r="B171" s="9"/>
      <x:c r="C171" s="9"/>
      <x:c r="D171" s="9"/>
      <x:c r="E171" s="9"/>
      <x:c r="F171" s="8"/>
      <x:c r="G171" s="8"/>
      <x:c r="H171" s="10"/>
      <x:c r="I171" s="8"/>
      <x:c r="J171" s="8"/>
      <x:c r="K171" s="8"/>
      <x:c r="L171" s="11" t="str">
        <x:f>IF(E171="","",E171-TODAY())</x:f>
      </x:c>
      <x:c r="M171" s="8" t="str">
        <x:f>IF(E171="","待確認截止日",IF(L171&lt;0,"報名已截止",IF(L171&lt;=7,"7日內截止",IF(L171&lt;=30,"30日內截止","持續追蹤"))))</x:f>
        <x:v>待確認截止日</x:v>
      </x:c>
      <x:c r="N171" s="8"/>
      <x:c r="O171" s="8"/>
      <x:c r="P171" s="9"/>
      <x:c r="Q171" s="9"/>
      <x:c r="R171" s="9"/>
      <x:c r="S171" s="8"/>
      <x:c r="T171" s="9" t="str">
        <x:f>IF(Q171="","",Q171-180)</x:f>
      </x:c>
      <x:c r="U171" s="8"/>
      <x:c r="V171" s="8"/>
      <x:c r="W171" s="8"/>
    </x:row>
    <x:row r="172">
      <x:c r="A172" s="8"/>
      <x:c r="B172" s="9"/>
      <x:c r="C172" s="9"/>
      <x:c r="D172" s="9"/>
      <x:c r="E172" s="9"/>
      <x:c r="F172" s="8"/>
      <x:c r="G172" s="8"/>
      <x:c r="H172" s="10"/>
      <x:c r="I172" s="8"/>
      <x:c r="J172" s="8"/>
      <x:c r="K172" s="8"/>
      <x:c r="L172" s="11" t="str">
        <x:f>IF(E172="","",E172-TODAY())</x:f>
      </x:c>
      <x:c r="M172" s="8" t="str">
        <x:f>IF(E172="","待確認截止日",IF(L172&lt;0,"報名已截止",IF(L172&lt;=7,"7日內截止",IF(L172&lt;=30,"30日內截止","持續追蹤"))))</x:f>
        <x:v>待確認截止日</x:v>
      </x:c>
      <x:c r="N172" s="8"/>
      <x:c r="O172" s="8"/>
      <x:c r="P172" s="9"/>
      <x:c r="Q172" s="9"/>
      <x:c r="R172" s="9"/>
      <x:c r="S172" s="8"/>
      <x:c r="T172" s="9" t="str">
        <x:f>IF(Q172="","",Q172-180)</x:f>
      </x:c>
      <x:c r="U172" s="8"/>
      <x:c r="V172" s="8"/>
      <x:c r="W172" s="8"/>
    </x:row>
    <x:row r="173">
      <x:c r="A173" s="8"/>
      <x:c r="B173" s="9"/>
      <x:c r="C173" s="9"/>
      <x:c r="D173" s="9"/>
      <x:c r="E173" s="9"/>
      <x:c r="F173" s="8"/>
      <x:c r="G173" s="8"/>
      <x:c r="H173" s="10"/>
      <x:c r="I173" s="8"/>
      <x:c r="J173" s="8"/>
      <x:c r="K173" s="8"/>
      <x:c r="L173" s="11" t="str">
        <x:f>IF(E173="","",E173-TODAY())</x:f>
      </x:c>
      <x:c r="M173" s="8" t="str">
        <x:f>IF(E173="","待確認截止日",IF(L173&lt;0,"報名已截止",IF(L173&lt;=7,"7日內截止",IF(L173&lt;=30,"30日內截止","持續追蹤"))))</x:f>
        <x:v>待確認截止日</x:v>
      </x:c>
      <x:c r="N173" s="8"/>
      <x:c r="O173" s="8"/>
      <x:c r="P173" s="9"/>
      <x:c r="Q173" s="9"/>
      <x:c r="R173" s="9"/>
      <x:c r="S173" s="8"/>
      <x:c r="T173" s="9" t="str">
        <x:f>IF(Q173="","",Q173-180)</x:f>
      </x:c>
      <x:c r="U173" s="8"/>
      <x:c r="V173" s="8"/>
      <x:c r="W173" s="8"/>
    </x:row>
    <x:row r="174">
      <x:c r="A174" s="8"/>
      <x:c r="B174" s="9"/>
      <x:c r="C174" s="9"/>
      <x:c r="D174" s="9"/>
      <x:c r="E174" s="9"/>
      <x:c r="F174" s="8"/>
      <x:c r="G174" s="8"/>
      <x:c r="H174" s="10"/>
      <x:c r="I174" s="8"/>
      <x:c r="J174" s="8"/>
      <x:c r="K174" s="8"/>
      <x:c r="L174" s="11" t="str">
        <x:f>IF(E174="","",E174-TODAY())</x:f>
      </x:c>
      <x:c r="M174" s="8" t="str">
        <x:f>IF(E174="","待確認截止日",IF(L174&lt;0,"報名已截止",IF(L174&lt;=7,"7日內截止",IF(L174&lt;=30,"30日內截止","持續追蹤"))))</x:f>
        <x:v>待確認截止日</x:v>
      </x:c>
      <x:c r="N174" s="8"/>
      <x:c r="O174" s="8"/>
      <x:c r="P174" s="9"/>
      <x:c r="Q174" s="9"/>
      <x:c r="R174" s="9"/>
      <x:c r="S174" s="8"/>
      <x:c r="T174" s="9" t="str">
        <x:f>IF(Q174="","",Q174-180)</x:f>
      </x:c>
      <x:c r="U174" s="8"/>
      <x:c r="V174" s="8"/>
      <x:c r="W174" s="8"/>
    </x:row>
    <x:row r="175">
      <x:c r="A175" s="8"/>
      <x:c r="B175" s="9"/>
      <x:c r="C175" s="9"/>
      <x:c r="D175" s="9"/>
      <x:c r="E175" s="9"/>
      <x:c r="F175" s="8"/>
      <x:c r="G175" s="8"/>
      <x:c r="H175" s="10"/>
      <x:c r="I175" s="8"/>
      <x:c r="J175" s="8"/>
      <x:c r="K175" s="8"/>
      <x:c r="L175" s="11" t="str">
        <x:f>IF(E175="","",E175-TODAY())</x:f>
      </x:c>
      <x:c r="M175" s="8" t="str">
        <x:f>IF(E175="","待確認截止日",IF(L175&lt;0,"報名已截止",IF(L175&lt;=7,"7日內截止",IF(L175&lt;=30,"30日內截止","持續追蹤"))))</x:f>
        <x:v>待確認截止日</x:v>
      </x:c>
      <x:c r="N175" s="8"/>
      <x:c r="O175" s="8"/>
      <x:c r="P175" s="9"/>
      <x:c r="Q175" s="9"/>
      <x:c r="R175" s="9"/>
      <x:c r="S175" s="8"/>
      <x:c r="T175" s="9" t="str">
        <x:f>IF(Q175="","",Q175-180)</x:f>
      </x:c>
      <x:c r="U175" s="8"/>
      <x:c r="V175" s="8"/>
      <x:c r="W175" s="8"/>
    </x:row>
    <x:row r="176">
      <x:c r="A176" s="8"/>
      <x:c r="B176" s="9"/>
      <x:c r="C176" s="9"/>
      <x:c r="D176" s="9"/>
      <x:c r="E176" s="9"/>
      <x:c r="F176" s="8"/>
      <x:c r="G176" s="8"/>
      <x:c r="H176" s="10"/>
      <x:c r="I176" s="8"/>
      <x:c r="J176" s="8"/>
      <x:c r="K176" s="8"/>
      <x:c r="L176" s="11" t="str">
        <x:f>IF(E176="","",E176-TODAY())</x:f>
      </x:c>
      <x:c r="M176" s="8" t="str">
        <x:f>IF(E176="","待確認截止日",IF(L176&lt;0,"報名已截止",IF(L176&lt;=7,"7日內截止",IF(L176&lt;=30,"30日內截止","持續追蹤"))))</x:f>
        <x:v>待確認截止日</x:v>
      </x:c>
      <x:c r="N176" s="8"/>
      <x:c r="O176" s="8"/>
      <x:c r="P176" s="9"/>
      <x:c r="Q176" s="9"/>
      <x:c r="R176" s="9"/>
      <x:c r="S176" s="8"/>
      <x:c r="T176" s="9" t="str">
        <x:f>IF(Q176="","",Q176-180)</x:f>
      </x:c>
      <x:c r="U176" s="8"/>
      <x:c r="V176" s="8"/>
      <x:c r="W176" s="8"/>
    </x:row>
    <x:row r="177">
      <x:c r="A177" s="8"/>
      <x:c r="B177" s="9"/>
      <x:c r="C177" s="9"/>
      <x:c r="D177" s="9"/>
      <x:c r="E177" s="9"/>
      <x:c r="F177" s="8"/>
      <x:c r="G177" s="8"/>
      <x:c r="H177" s="10"/>
      <x:c r="I177" s="8"/>
      <x:c r="J177" s="8"/>
      <x:c r="K177" s="8"/>
      <x:c r="L177" s="11" t="str">
        <x:f>IF(E177="","",E177-TODAY())</x:f>
      </x:c>
      <x:c r="M177" s="8" t="str">
        <x:f>IF(E177="","待確認截止日",IF(L177&lt;0,"報名已截止",IF(L177&lt;=7,"7日內截止",IF(L177&lt;=30,"30日內截止","持續追蹤"))))</x:f>
        <x:v>待確認截止日</x:v>
      </x:c>
      <x:c r="N177" s="8"/>
      <x:c r="O177" s="8"/>
      <x:c r="P177" s="9"/>
      <x:c r="Q177" s="9"/>
      <x:c r="R177" s="9"/>
      <x:c r="S177" s="8"/>
      <x:c r="T177" s="9" t="str">
        <x:f>IF(Q177="","",Q177-180)</x:f>
      </x:c>
      <x:c r="U177" s="8"/>
      <x:c r="V177" s="8"/>
      <x:c r="W177" s="8"/>
    </x:row>
    <x:row r="178">
      <x:c r="A178" s="8"/>
      <x:c r="B178" s="9"/>
      <x:c r="C178" s="9"/>
      <x:c r="D178" s="9"/>
      <x:c r="E178" s="9"/>
      <x:c r="F178" s="8"/>
      <x:c r="G178" s="8"/>
      <x:c r="H178" s="10"/>
      <x:c r="I178" s="8"/>
      <x:c r="J178" s="8"/>
      <x:c r="K178" s="8"/>
      <x:c r="L178" s="11" t="str">
        <x:f>IF(E178="","",E178-TODAY())</x:f>
      </x:c>
      <x:c r="M178" s="8" t="str">
        <x:f>IF(E178="","待確認截止日",IF(L178&lt;0,"報名已截止",IF(L178&lt;=7,"7日內截止",IF(L178&lt;=30,"30日內截止","持續追蹤"))))</x:f>
        <x:v>待確認截止日</x:v>
      </x:c>
      <x:c r="N178" s="8"/>
      <x:c r="O178" s="8"/>
      <x:c r="P178" s="9"/>
      <x:c r="Q178" s="9"/>
      <x:c r="R178" s="9"/>
      <x:c r="S178" s="8"/>
      <x:c r="T178" s="9" t="str">
        <x:f>IF(Q178="","",Q178-180)</x:f>
      </x:c>
      <x:c r="U178" s="8"/>
      <x:c r="V178" s="8"/>
      <x:c r="W178" s="8"/>
    </x:row>
    <x:row r="179">
      <x:c r="A179" s="8"/>
      <x:c r="B179" s="9"/>
      <x:c r="C179" s="9"/>
      <x:c r="D179" s="9"/>
      <x:c r="E179" s="9"/>
      <x:c r="F179" s="8"/>
      <x:c r="G179" s="8"/>
      <x:c r="H179" s="10"/>
      <x:c r="I179" s="8"/>
      <x:c r="J179" s="8"/>
      <x:c r="K179" s="8"/>
      <x:c r="L179" s="11" t="str">
        <x:f>IF(E179="","",E179-TODAY())</x:f>
      </x:c>
      <x:c r="M179" s="8" t="str">
        <x:f>IF(E179="","待確認截止日",IF(L179&lt;0,"報名已截止",IF(L179&lt;=7,"7日內截止",IF(L179&lt;=30,"30日內截止","持續追蹤"))))</x:f>
        <x:v>待確認截止日</x:v>
      </x:c>
      <x:c r="N179" s="8"/>
      <x:c r="O179" s="8"/>
      <x:c r="P179" s="9"/>
      <x:c r="Q179" s="9"/>
      <x:c r="R179" s="9"/>
      <x:c r="S179" s="8"/>
      <x:c r="T179" s="9" t="str">
        <x:f>IF(Q179="","",Q179-180)</x:f>
      </x:c>
      <x:c r="U179" s="8"/>
      <x:c r="V179" s="8"/>
      <x:c r="W179" s="8"/>
    </x:row>
    <x:row r="180">
      <x:c r="A180" s="8"/>
      <x:c r="B180" s="9"/>
      <x:c r="C180" s="9"/>
      <x:c r="D180" s="9"/>
      <x:c r="E180" s="9"/>
      <x:c r="F180" s="8"/>
      <x:c r="G180" s="8"/>
      <x:c r="H180" s="10"/>
      <x:c r="I180" s="8"/>
      <x:c r="J180" s="8"/>
      <x:c r="K180" s="8"/>
      <x:c r="L180" s="11" t="str">
        <x:f>IF(E180="","",E180-TODAY())</x:f>
      </x:c>
      <x:c r="M180" s="8" t="str">
        <x:f>IF(E180="","待確認截止日",IF(L180&lt;0,"報名已截止",IF(L180&lt;=7,"7日內截止",IF(L180&lt;=30,"30日內截止","持續追蹤"))))</x:f>
        <x:v>待確認截止日</x:v>
      </x:c>
      <x:c r="N180" s="8"/>
      <x:c r="O180" s="8"/>
      <x:c r="P180" s="9"/>
      <x:c r="Q180" s="9"/>
      <x:c r="R180" s="9"/>
      <x:c r="S180" s="8"/>
      <x:c r="T180" s="9" t="str">
        <x:f>IF(Q180="","",Q180-180)</x:f>
      </x:c>
      <x:c r="U180" s="8"/>
      <x:c r="V180" s="8"/>
      <x:c r="W180" s="8"/>
    </x:row>
    <x:row r="181">
      <x:c r="A181" s="8"/>
      <x:c r="B181" s="9"/>
      <x:c r="C181" s="9"/>
      <x:c r="D181" s="9"/>
      <x:c r="E181" s="9"/>
      <x:c r="F181" s="8"/>
      <x:c r="G181" s="8"/>
      <x:c r="H181" s="10"/>
      <x:c r="I181" s="8"/>
      <x:c r="J181" s="8"/>
      <x:c r="K181" s="8"/>
      <x:c r="L181" s="11" t="str">
        <x:f>IF(E181="","",E181-TODAY())</x:f>
      </x:c>
      <x:c r="M181" s="8" t="str">
        <x:f>IF(E181="","待確認截止日",IF(L181&lt;0,"報名已截止",IF(L181&lt;=7,"7日內截止",IF(L181&lt;=30,"30日內截止","持續追蹤"))))</x:f>
        <x:v>待確認截止日</x:v>
      </x:c>
      <x:c r="N181" s="8"/>
      <x:c r="O181" s="8"/>
      <x:c r="P181" s="9"/>
      <x:c r="Q181" s="9"/>
      <x:c r="R181" s="9"/>
      <x:c r="S181" s="8"/>
      <x:c r="T181" s="9" t="str">
        <x:f>IF(Q181="","",Q181-180)</x:f>
      </x:c>
      <x:c r="U181" s="8"/>
      <x:c r="V181" s="8"/>
      <x:c r="W181" s="8"/>
    </x:row>
    <x:row r="182">
      <x:c r="A182" s="8"/>
      <x:c r="B182" s="9"/>
      <x:c r="C182" s="9"/>
      <x:c r="D182" s="9"/>
      <x:c r="E182" s="9"/>
      <x:c r="F182" s="8"/>
      <x:c r="G182" s="8"/>
      <x:c r="H182" s="10"/>
      <x:c r="I182" s="8"/>
      <x:c r="J182" s="8"/>
      <x:c r="K182" s="8"/>
      <x:c r="L182" s="11" t="str">
        <x:f>IF(E182="","",E182-TODAY())</x:f>
      </x:c>
      <x:c r="M182" s="8" t="str">
        <x:f>IF(E182="","待確認截止日",IF(L182&lt;0,"報名已截止",IF(L182&lt;=7,"7日內截止",IF(L182&lt;=30,"30日內截止","持續追蹤"))))</x:f>
        <x:v>待確認截止日</x:v>
      </x:c>
      <x:c r="N182" s="8"/>
      <x:c r="O182" s="8"/>
      <x:c r="P182" s="9"/>
      <x:c r="Q182" s="9"/>
      <x:c r="R182" s="9"/>
      <x:c r="S182" s="8"/>
      <x:c r="T182" s="9" t="str">
        <x:f>IF(Q182="","",Q182-180)</x:f>
      </x:c>
      <x:c r="U182" s="8"/>
      <x:c r="V182" s="8"/>
      <x:c r="W182" s="8"/>
    </x:row>
    <x:row r="183">
      <x:c r="A183" s="8"/>
      <x:c r="B183" s="9"/>
      <x:c r="C183" s="9"/>
      <x:c r="D183" s="9"/>
      <x:c r="E183" s="9"/>
      <x:c r="F183" s="8"/>
      <x:c r="G183" s="8"/>
      <x:c r="H183" s="10"/>
      <x:c r="I183" s="8"/>
      <x:c r="J183" s="8"/>
      <x:c r="K183" s="8"/>
      <x:c r="L183" s="11" t="str">
        <x:f>IF(E183="","",E183-TODAY())</x:f>
      </x:c>
      <x:c r="M183" s="8" t="str">
        <x:f>IF(E183="","待確認截止日",IF(L183&lt;0,"報名已截止",IF(L183&lt;=7,"7日內截止",IF(L183&lt;=30,"30日內截止","持續追蹤"))))</x:f>
        <x:v>待確認截止日</x:v>
      </x:c>
      <x:c r="N183" s="8"/>
      <x:c r="O183" s="8"/>
      <x:c r="P183" s="9"/>
      <x:c r="Q183" s="9"/>
      <x:c r="R183" s="9"/>
      <x:c r="S183" s="8"/>
      <x:c r="T183" s="9" t="str">
        <x:f>IF(Q183="","",Q183-180)</x:f>
      </x:c>
      <x:c r="U183" s="8"/>
      <x:c r="V183" s="8"/>
      <x:c r="W183" s="8"/>
    </x:row>
    <x:row r="184">
      <x:c r="A184" s="8"/>
      <x:c r="B184" s="9"/>
      <x:c r="C184" s="9"/>
      <x:c r="D184" s="9"/>
      <x:c r="E184" s="9"/>
      <x:c r="F184" s="8"/>
      <x:c r="G184" s="8"/>
      <x:c r="H184" s="10"/>
      <x:c r="I184" s="8"/>
      <x:c r="J184" s="8"/>
      <x:c r="K184" s="8"/>
      <x:c r="L184" s="11" t="str">
        <x:f>IF(E184="","",E184-TODAY())</x:f>
      </x:c>
      <x:c r="M184" s="8" t="str">
        <x:f>IF(E184="","待確認截止日",IF(L184&lt;0,"報名已截止",IF(L184&lt;=7,"7日內截止",IF(L184&lt;=30,"30日內截止","持續追蹤"))))</x:f>
        <x:v>待確認截止日</x:v>
      </x:c>
      <x:c r="N184" s="8"/>
      <x:c r="O184" s="8"/>
      <x:c r="P184" s="9"/>
      <x:c r="Q184" s="9"/>
      <x:c r="R184" s="9"/>
      <x:c r="S184" s="8"/>
      <x:c r="T184" s="9" t="str">
        <x:f>IF(Q184="","",Q184-180)</x:f>
      </x:c>
      <x:c r="U184" s="8"/>
      <x:c r="V184" s="8"/>
      <x:c r="W184" s="8"/>
    </x:row>
    <x:row r="185">
      <x:c r="A185" s="8"/>
      <x:c r="B185" s="9"/>
      <x:c r="C185" s="9"/>
      <x:c r="D185" s="9"/>
      <x:c r="E185" s="9"/>
      <x:c r="F185" s="8"/>
      <x:c r="G185" s="8"/>
      <x:c r="H185" s="10"/>
      <x:c r="I185" s="8"/>
      <x:c r="J185" s="8"/>
      <x:c r="K185" s="8"/>
      <x:c r="L185" s="11" t="str">
        <x:f>IF(E185="","",E185-TODAY())</x:f>
      </x:c>
      <x:c r="M185" s="8" t="str">
        <x:f>IF(E185="","待確認截止日",IF(L185&lt;0,"報名已截止",IF(L185&lt;=7,"7日內截止",IF(L185&lt;=30,"30日內截止","持續追蹤"))))</x:f>
        <x:v>待確認截止日</x:v>
      </x:c>
      <x:c r="N185" s="8"/>
      <x:c r="O185" s="8"/>
      <x:c r="P185" s="9"/>
      <x:c r="Q185" s="9"/>
      <x:c r="R185" s="9"/>
      <x:c r="S185" s="8"/>
      <x:c r="T185" s="9" t="str">
        <x:f>IF(Q185="","",Q185-180)</x:f>
      </x:c>
      <x:c r="U185" s="8"/>
      <x:c r="V185" s="8"/>
      <x:c r="W185" s="8"/>
    </x:row>
    <x:row r="186">
      <x:c r="A186" s="8"/>
      <x:c r="B186" s="9"/>
      <x:c r="C186" s="9"/>
      <x:c r="D186" s="9"/>
      <x:c r="E186" s="9"/>
      <x:c r="F186" s="8"/>
      <x:c r="G186" s="8"/>
      <x:c r="H186" s="10"/>
      <x:c r="I186" s="8"/>
      <x:c r="J186" s="8"/>
      <x:c r="K186" s="8"/>
      <x:c r="L186" s="11" t="str">
        <x:f>IF(E186="","",E186-TODAY())</x:f>
      </x:c>
      <x:c r="M186" s="8" t="str">
        <x:f>IF(E186="","待確認截止日",IF(L186&lt;0,"報名已截止",IF(L186&lt;=7,"7日內截止",IF(L186&lt;=30,"30日內截止","持續追蹤"))))</x:f>
        <x:v>待確認截止日</x:v>
      </x:c>
      <x:c r="N186" s="8"/>
      <x:c r="O186" s="8"/>
      <x:c r="P186" s="9"/>
      <x:c r="Q186" s="9"/>
      <x:c r="R186" s="9"/>
      <x:c r="S186" s="8"/>
      <x:c r="T186" s="9" t="str">
        <x:f>IF(Q186="","",Q186-180)</x:f>
      </x:c>
      <x:c r="U186" s="8"/>
      <x:c r="V186" s="8"/>
      <x:c r="W186" s="8"/>
    </x:row>
    <x:row r="187">
      <x:c r="A187" s="8"/>
      <x:c r="B187" s="9"/>
      <x:c r="C187" s="9"/>
      <x:c r="D187" s="9"/>
      <x:c r="E187" s="9"/>
      <x:c r="F187" s="8"/>
      <x:c r="G187" s="8"/>
      <x:c r="H187" s="10"/>
      <x:c r="I187" s="8"/>
      <x:c r="J187" s="8"/>
      <x:c r="K187" s="8"/>
      <x:c r="L187" s="11" t="str">
        <x:f>IF(E187="","",E187-TODAY())</x:f>
      </x:c>
      <x:c r="M187" s="8" t="str">
        <x:f>IF(E187="","待確認截止日",IF(L187&lt;0,"報名已截止",IF(L187&lt;=7,"7日內截止",IF(L187&lt;=30,"30日內截止","持續追蹤"))))</x:f>
        <x:v>待確認截止日</x:v>
      </x:c>
      <x:c r="N187" s="8"/>
      <x:c r="O187" s="8"/>
      <x:c r="P187" s="9"/>
      <x:c r="Q187" s="9"/>
      <x:c r="R187" s="9"/>
      <x:c r="S187" s="8"/>
      <x:c r="T187" s="9" t="str">
        <x:f>IF(Q187="","",Q187-180)</x:f>
      </x:c>
      <x:c r="U187" s="8"/>
      <x:c r="V187" s="8"/>
      <x:c r="W187" s="8"/>
    </x:row>
    <x:row r="188">
      <x:c r="A188" s="8"/>
      <x:c r="B188" s="9"/>
      <x:c r="C188" s="9"/>
      <x:c r="D188" s="9"/>
      <x:c r="E188" s="9"/>
      <x:c r="F188" s="8"/>
      <x:c r="G188" s="8"/>
      <x:c r="H188" s="10"/>
      <x:c r="I188" s="8"/>
      <x:c r="J188" s="8"/>
      <x:c r="K188" s="8"/>
      <x:c r="L188" s="11" t="str">
        <x:f>IF(E188="","",E188-TODAY())</x:f>
      </x:c>
      <x:c r="M188" s="8" t="str">
        <x:f>IF(E188="","待確認截止日",IF(L188&lt;0,"報名已截止",IF(L188&lt;=7,"7日內截止",IF(L188&lt;=30,"30日內截止","持續追蹤"))))</x:f>
        <x:v>待確認截止日</x:v>
      </x:c>
      <x:c r="N188" s="8"/>
      <x:c r="O188" s="8"/>
      <x:c r="P188" s="9"/>
      <x:c r="Q188" s="9"/>
      <x:c r="R188" s="9"/>
      <x:c r="S188" s="8"/>
      <x:c r="T188" s="9" t="str">
        <x:f>IF(Q188="","",Q188-180)</x:f>
      </x:c>
      <x:c r="U188" s="8"/>
      <x:c r="V188" s="8"/>
      <x:c r="W188" s="8"/>
    </x:row>
    <x:row r="189">
      <x:c r="A189" s="8"/>
      <x:c r="B189" s="9"/>
      <x:c r="C189" s="9"/>
      <x:c r="D189" s="9"/>
      <x:c r="E189" s="9"/>
      <x:c r="F189" s="8"/>
      <x:c r="G189" s="8"/>
      <x:c r="H189" s="10"/>
      <x:c r="I189" s="8"/>
      <x:c r="J189" s="8"/>
      <x:c r="K189" s="8"/>
      <x:c r="L189" s="11" t="str">
        <x:f>IF(E189="","",E189-TODAY())</x:f>
      </x:c>
      <x:c r="M189" s="8" t="str">
        <x:f>IF(E189="","待確認截止日",IF(L189&lt;0,"報名已截止",IF(L189&lt;=7,"7日內截止",IF(L189&lt;=30,"30日內截止","持續追蹤"))))</x:f>
        <x:v>待確認截止日</x:v>
      </x:c>
      <x:c r="N189" s="8"/>
      <x:c r="O189" s="8"/>
      <x:c r="P189" s="9"/>
      <x:c r="Q189" s="9"/>
      <x:c r="R189" s="9"/>
      <x:c r="S189" s="8"/>
      <x:c r="T189" s="9" t="str">
        <x:f>IF(Q189="","",Q189-180)</x:f>
      </x:c>
      <x:c r="U189" s="8"/>
      <x:c r="V189" s="8"/>
      <x:c r="W189" s="8"/>
    </x:row>
    <x:row r="190">
      <x:c r="A190" s="8"/>
      <x:c r="B190" s="9"/>
      <x:c r="C190" s="9"/>
      <x:c r="D190" s="9"/>
      <x:c r="E190" s="9"/>
      <x:c r="F190" s="8"/>
      <x:c r="G190" s="8"/>
      <x:c r="H190" s="10"/>
      <x:c r="I190" s="8"/>
      <x:c r="J190" s="8"/>
      <x:c r="K190" s="8"/>
      <x:c r="L190" s="11" t="str">
        <x:f>IF(E190="","",E190-TODAY())</x:f>
      </x:c>
      <x:c r="M190" s="8" t="str">
        <x:f>IF(E190="","待確認截止日",IF(L190&lt;0,"報名已截止",IF(L190&lt;=7,"7日內截止",IF(L190&lt;=30,"30日內截止","持續追蹤"))))</x:f>
        <x:v>待確認截止日</x:v>
      </x:c>
      <x:c r="N190" s="8"/>
      <x:c r="O190" s="8"/>
      <x:c r="P190" s="9"/>
      <x:c r="Q190" s="9"/>
      <x:c r="R190" s="9"/>
      <x:c r="S190" s="8"/>
      <x:c r="T190" s="9" t="str">
        <x:f>IF(Q190="","",Q190-180)</x:f>
      </x:c>
      <x:c r="U190" s="8"/>
      <x:c r="V190" s="8"/>
      <x:c r="W190" s="8"/>
    </x:row>
    <x:row r="191">
      <x:c r="A191" s="8"/>
      <x:c r="B191" s="9"/>
      <x:c r="C191" s="9"/>
      <x:c r="D191" s="9"/>
      <x:c r="E191" s="9"/>
      <x:c r="F191" s="8"/>
      <x:c r="G191" s="8"/>
      <x:c r="H191" s="10"/>
      <x:c r="I191" s="8"/>
      <x:c r="J191" s="8"/>
      <x:c r="K191" s="8"/>
      <x:c r="L191" s="11" t="str">
        <x:f>IF(E191="","",E191-TODAY())</x:f>
      </x:c>
      <x:c r="M191" s="8" t="str">
        <x:f>IF(E191="","待確認截止日",IF(L191&lt;0,"報名已截止",IF(L191&lt;=7,"7日內截止",IF(L191&lt;=30,"30日內截止","持續追蹤"))))</x:f>
        <x:v>待確認截止日</x:v>
      </x:c>
      <x:c r="N191" s="8"/>
      <x:c r="O191" s="8"/>
      <x:c r="P191" s="9"/>
      <x:c r="Q191" s="9"/>
      <x:c r="R191" s="9"/>
      <x:c r="S191" s="8"/>
      <x:c r="T191" s="9" t="str">
        <x:f>IF(Q191="","",Q191-180)</x:f>
      </x:c>
      <x:c r="U191" s="8"/>
      <x:c r="V191" s="8"/>
      <x:c r="W191" s="8"/>
    </x:row>
    <x:row r="192">
      <x:c r="A192" s="8"/>
      <x:c r="B192" s="9"/>
      <x:c r="C192" s="9"/>
      <x:c r="D192" s="9"/>
      <x:c r="E192" s="9"/>
      <x:c r="F192" s="8"/>
      <x:c r="G192" s="8"/>
      <x:c r="H192" s="10"/>
      <x:c r="I192" s="8"/>
      <x:c r="J192" s="8"/>
      <x:c r="K192" s="8"/>
      <x:c r="L192" s="11" t="str">
        <x:f>IF(E192="","",E192-TODAY())</x:f>
      </x:c>
      <x:c r="M192" s="8" t="str">
        <x:f>IF(E192="","待確認截止日",IF(L192&lt;0,"報名已截止",IF(L192&lt;=7,"7日內截止",IF(L192&lt;=30,"30日內截止","持續追蹤"))))</x:f>
        <x:v>待確認截止日</x:v>
      </x:c>
      <x:c r="N192" s="8"/>
      <x:c r="O192" s="8"/>
      <x:c r="P192" s="9"/>
      <x:c r="Q192" s="9"/>
      <x:c r="R192" s="9"/>
      <x:c r="S192" s="8"/>
      <x:c r="T192" s="9" t="str">
        <x:f>IF(Q192="","",Q192-180)</x:f>
      </x:c>
      <x:c r="U192" s="8"/>
      <x:c r="V192" s="8"/>
      <x:c r="W192" s="8"/>
    </x:row>
    <x:row r="193">
      <x:c r="A193" s="8"/>
      <x:c r="B193" s="9"/>
      <x:c r="C193" s="9"/>
      <x:c r="D193" s="9"/>
      <x:c r="E193" s="9"/>
      <x:c r="F193" s="8"/>
      <x:c r="G193" s="8"/>
      <x:c r="H193" s="10"/>
      <x:c r="I193" s="8"/>
      <x:c r="J193" s="8"/>
      <x:c r="K193" s="8"/>
      <x:c r="L193" s="11" t="str">
        <x:f>IF(E193="","",E193-TODAY())</x:f>
      </x:c>
      <x:c r="M193" s="8" t="str">
        <x:f>IF(E193="","待確認截止日",IF(L193&lt;0,"報名已截止",IF(L193&lt;=7,"7日內截止",IF(L193&lt;=30,"30日內截止","持續追蹤"))))</x:f>
        <x:v>待確認截止日</x:v>
      </x:c>
      <x:c r="N193" s="8"/>
      <x:c r="O193" s="8"/>
      <x:c r="P193" s="9"/>
      <x:c r="Q193" s="9"/>
      <x:c r="R193" s="9"/>
      <x:c r="S193" s="8"/>
      <x:c r="T193" s="9" t="str">
        <x:f>IF(Q193="","",Q193-180)</x:f>
      </x:c>
      <x:c r="U193" s="8"/>
      <x:c r="V193" s="8"/>
      <x:c r="W193" s="8"/>
    </x:row>
    <x:row r="194">
      <x:c r="A194" s="8"/>
      <x:c r="B194" s="9"/>
      <x:c r="C194" s="9"/>
      <x:c r="D194" s="9"/>
      <x:c r="E194" s="9"/>
      <x:c r="F194" s="8"/>
      <x:c r="G194" s="8"/>
      <x:c r="H194" s="10"/>
      <x:c r="I194" s="8"/>
      <x:c r="J194" s="8"/>
      <x:c r="K194" s="8"/>
      <x:c r="L194" s="11" t="str">
        <x:f>IF(E194="","",E194-TODAY())</x:f>
      </x:c>
      <x:c r="M194" s="8" t="str">
        <x:f>IF(E194="","待確認截止日",IF(L194&lt;0,"報名已截止",IF(L194&lt;=7,"7日內截止",IF(L194&lt;=30,"30日內截止","持續追蹤"))))</x:f>
        <x:v>待確認截止日</x:v>
      </x:c>
      <x:c r="N194" s="8"/>
      <x:c r="O194" s="8"/>
      <x:c r="P194" s="9"/>
      <x:c r="Q194" s="9"/>
      <x:c r="R194" s="9"/>
      <x:c r="S194" s="8"/>
      <x:c r="T194" s="9" t="str">
        <x:f>IF(Q194="","",Q194-180)</x:f>
      </x:c>
      <x:c r="U194" s="8"/>
      <x:c r="V194" s="8"/>
      <x:c r="W194" s="8"/>
    </x:row>
    <x:row r="195">
      <x:c r="A195" s="8"/>
      <x:c r="B195" s="9"/>
      <x:c r="C195" s="9"/>
      <x:c r="D195" s="9"/>
      <x:c r="E195" s="9"/>
      <x:c r="F195" s="8"/>
      <x:c r="G195" s="8"/>
      <x:c r="H195" s="10"/>
      <x:c r="I195" s="8"/>
      <x:c r="J195" s="8"/>
      <x:c r="K195" s="8"/>
      <x:c r="L195" s="11" t="str">
        <x:f>IF(E195="","",E195-TODAY())</x:f>
      </x:c>
      <x:c r="M195" s="8" t="str">
        <x:f>IF(E195="","待確認截止日",IF(L195&lt;0,"報名已截止",IF(L195&lt;=7,"7日內截止",IF(L195&lt;=30,"30日內截止","持續追蹤"))))</x:f>
        <x:v>待確認截止日</x:v>
      </x:c>
      <x:c r="N195" s="8"/>
      <x:c r="O195" s="8"/>
      <x:c r="P195" s="9"/>
      <x:c r="Q195" s="9"/>
      <x:c r="R195" s="9"/>
      <x:c r="S195" s="8"/>
      <x:c r="T195" s="9" t="str">
        <x:f>IF(Q195="","",Q195-180)</x:f>
      </x:c>
      <x:c r="U195" s="8"/>
      <x:c r="V195" s="8"/>
      <x:c r="W195" s="8"/>
    </x:row>
    <x:row r="196">
      <x:c r="A196" s="8"/>
      <x:c r="B196" s="9"/>
      <x:c r="C196" s="9"/>
      <x:c r="D196" s="9"/>
      <x:c r="E196" s="9"/>
      <x:c r="F196" s="8"/>
      <x:c r="G196" s="8"/>
      <x:c r="H196" s="10"/>
      <x:c r="I196" s="8"/>
      <x:c r="J196" s="8"/>
      <x:c r="K196" s="8"/>
      <x:c r="L196" s="11" t="str">
        <x:f>IF(E196="","",E196-TODAY())</x:f>
      </x:c>
      <x:c r="M196" s="8" t="str">
        <x:f>IF(E196="","待確認截止日",IF(L196&lt;0,"報名已截止",IF(L196&lt;=7,"7日內截止",IF(L196&lt;=30,"30日內截止","持續追蹤"))))</x:f>
        <x:v>待確認截止日</x:v>
      </x:c>
      <x:c r="N196" s="8"/>
      <x:c r="O196" s="8"/>
      <x:c r="P196" s="9"/>
      <x:c r="Q196" s="9"/>
      <x:c r="R196" s="9"/>
      <x:c r="S196" s="8"/>
      <x:c r="T196" s="9" t="str">
        <x:f>IF(Q196="","",Q196-180)</x:f>
      </x:c>
      <x:c r="U196" s="8"/>
      <x:c r="V196" s="8"/>
      <x:c r="W196" s="8"/>
    </x:row>
    <x:row r="197">
      <x:c r="A197" s="8"/>
      <x:c r="B197" s="9"/>
      <x:c r="C197" s="9"/>
      <x:c r="D197" s="9"/>
      <x:c r="E197" s="9"/>
      <x:c r="F197" s="8"/>
      <x:c r="G197" s="8"/>
      <x:c r="H197" s="10"/>
      <x:c r="I197" s="8"/>
      <x:c r="J197" s="8"/>
      <x:c r="K197" s="8"/>
      <x:c r="L197" s="11" t="str">
        <x:f>IF(E197="","",E197-TODAY())</x:f>
      </x:c>
      <x:c r="M197" s="8" t="str">
        <x:f>IF(E197="","待確認截止日",IF(L197&lt;0,"報名已截止",IF(L197&lt;=7,"7日內截止",IF(L197&lt;=30,"30日內截止","持續追蹤"))))</x:f>
        <x:v>待確認截止日</x:v>
      </x:c>
      <x:c r="N197" s="8"/>
      <x:c r="O197" s="8"/>
      <x:c r="P197" s="9"/>
      <x:c r="Q197" s="9"/>
      <x:c r="R197" s="9"/>
      <x:c r="S197" s="8"/>
      <x:c r="T197" s="9" t="str">
        <x:f>IF(Q197="","",Q197-180)</x:f>
      </x:c>
      <x:c r="U197" s="8"/>
      <x:c r="V197" s="8"/>
      <x:c r="W197" s="8"/>
    </x:row>
    <x:row r="198">
      <x:c r="A198" s="8"/>
      <x:c r="B198" s="9"/>
      <x:c r="C198" s="9"/>
      <x:c r="D198" s="9"/>
      <x:c r="E198" s="9"/>
      <x:c r="F198" s="8"/>
      <x:c r="G198" s="8"/>
      <x:c r="H198" s="10"/>
      <x:c r="I198" s="8"/>
      <x:c r="J198" s="8"/>
      <x:c r="K198" s="8"/>
      <x:c r="L198" s="11" t="str">
        <x:f>IF(E198="","",E198-TODAY())</x:f>
      </x:c>
      <x:c r="M198" s="8" t="str">
        <x:f>IF(E198="","待確認截止日",IF(L198&lt;0,"報名已截止",IF(L198&lt;=7,"7日內截止",IF(L198&lt;=30,"30日內截止","持續追蹤"))))</x:f>
        <x:v>待確認截止日</x:v>
      </x:c>
      <x:c r="N198" s="8"/>
      <x:c r="O198" s="8"/>
      <x:c r="P198" s="9"/>
      <x:c r="Q198" s="9"/>
      <x:c r="R198" s="9"/>
      <x:c r="S198" s="8"/>
      <x:c r="T198" s="9" t="str">
        <x:f>IF(Q198="","",Q198-180)</x:f>
      </x:c>
      <x:c r="U198" s="8"/>
      <x:c r="V198" s="8"/>
      <x:c r="W198" s="8"/>
    </x:row>
    <x:row r="199">
      <x:c r="A199" s="8"/>
      <x:c r="B199" s="9"/>
      <x:c r="C199" s="9"/>
      <x:c r="D199" s="9"/>
      <x:c r="E199" s="9"/>
      <x:c r="F199" s="8"/>
      <x:c r="G199" s="8"/>
      <x:c r="H199" s="10"/>
      <x:c r="I199" s="8"/>
      <x:c r="J199" s="8"/>
      <x:c r="K199" s="8"/>
      <x:c r="L199" s="11" t="str">
        <x:f>IF(E199="","",E199-TODAY())</x:f>
      </x:c>
      <x:c r="M199" s="8" t="str">
        <x:f>IF(E199="","待確認截止日",IF(L199&lt;0,"報名已截止",IF(L199&lt;=7,"7日內截止",IF(L199&lt;=30,"30日內截止","持續追蹤"))))</x:f>
        <x:v>待確認截止日</x:v>
      </x:c>
      <x:c r="N199" s="8"/>
      <x:c r="O199" s="8"/>
      <x:c r="P199" s="9"/>
      <x:c r="Q199" s="9"/>
      <x:c r="R199" s="9"/>
      <x:c r="S199" s="8"/>
      <x:c r="T199" s="9" t="str">
        <x:f>IF(Q199="","",Q199-180)</x:f>
      </x:c>
      <x:c r="U199" s="8"/>
      <x:c r="V199" s="8"/>
      <x:c r="W199" s="8"/>
    </x:row>
    <x:row r="200">
      <x:c r="A200" s="8"/>
      <x:c r="B200" s="9"/>
      <x:c r="C200" s="9"/>
      <x:c r="D200" s="9"/>
      <x:c r="E200" s="9"/>
      <x:c r="F200" s="8"/>
      <x:c r="G200" s="8"/>
      <x:c r="H200" s="10"/>
      <x:c r="I200" s="8"/>
      <x:c r="J200" s="8"/>
      <x:c r="K200" s="8"/>
      <x:c r="L200" s="11" t="str">
        <x:f>IF(E200="","",E200-TODAY())</x:f>
      </x:c>
      <x:c r="M200" s="8" t="str">
        <x:f>IF(E200="","待確認截止日",IF(L200&lt;0,"報名已截止",IF(L200&lt;=7,"7日內截止",IF(L200&lt;=30,"30日內截止","持續追蹤"))))</x:f>
        <x:v>待確認截止日</x:v>
      </x:c>
      <x:c r="N200" s="8"/>
      <x:c r="O200" s="8"/>
      <x:c r="P200" s="9"/>
      <x:c r="Q200" s="9"/>
      <x:c r="R200" s="9"/>
      <x:c r="S200" s="8"/>
      <x:c r="T200" s="9" t="str">
        <x:f>IF(Q200="","",Q200-180)</x:f>
      </x:c>
      <x:c r="U200" s="8"/>
      <x:c r="V200" s="8"/>
      <x:c r="W200" s="8"/>
    </x:row>
    <x:row r="201">
      <x:c r="A201" s="8"/>
      <x:c r="B201" s="9"/>
      <x:c r="C201" s="9"/>
      <x:c r="D201" s="9"/>
      <x:c r="E201" s="9"/>
      <x:c r="F201" s="8"/>
      <x:c r="G201" s="8"/>
      <x:c r="H201" s="10"/>
      <x:c r="I201" s="8"/>
      <x:c r="J201" s="8"/>
      <x:c r="K201" s="8"/>
      <x:c r="L201" s="11" t="str">
        <x:f>IF(E201="","",E201-TODAY())</x:f>
      </x:c>
      <x:c r="M201" s="8" t="str">
        <x:f>IF(E201="","待確認截止日",IF(L201&lt;0,"報名已截止",IF(L201&lt;=7,"7日內截止",IF(L201&lt;=30,"30日內截止","持續追蹤"))))</x:f>
        <x:v>待確認截止日</x:v>
      </x:c>
      <x:c r="N201" s="8"/>
      <x:c r="O201" s="8"/>
      <x:c r="P201" s="9"/>
      <x:c r="Q201" s="9"/>
      <x:c r="R201" s="9"/>
      <x:c r="S201" s="8"/>
      <x:c r="T201" s="9" t="str">
        <x:f>IF(Q201="","",Q201-180)</x:f>
      </x:c>
      <x:c r="U201" s="8"/>
      <x:c r="V201" s="8"/>
      <x:c r="W201" s="8"/>
    </x:row>
  </x:sheetData>
  <x:conditionalFormatting sqref="M2:M201">
    <x:cfRule type="containsText" dxfId="0" priority="1" operator="containsText" text="7日內截止"/>
    <x:cfRule type="containsText" dxfId="1" priority="2" operator="containsText" text="30日內截止"/>
  </x:conditionalFormatting>
  <x:conditionalFormatting sqref="K2:K201">
    <x:cfRule type="containsText" dxfId="2" priority="3" operator="containsText" text="已開放報名"/>
  </x:conditionalFormatting>
  <x:conditionalFormatting sqref="N2:N201">
    <x:cfRule type="containsText" dxfId="3" priority="4" operator="containsText" text="高"/>
  </x:conditionalFormatting>
  <x:conditionalFormatting sqref="V2:V201">
    <x:cfRule type="containsText" dxfId="4" priority="5" operator="containsText" text="高"/>
  </x:conditionalFormatting>
  <x:dataValidations count="3">
    <x:dataValidation type="list" sqref="K2:K201">
      <x:formula1>"待公告,待確認,已開放報名,已報名,不參加,已結束"</x:formula1>
    </x:dataValidation>
    <x:dataValidation type="list" sqref="N2:N201">
      <x:formula1>"高,中,低"</x:formula1>
    </x:dataValidation>
    <x:dataValidation type="list" sqref="V2:V201">
      <x:formula1>"高,中,低,不適用"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b8d3f7aec742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30" hidden="0" customWidth="1"/>
    <x:col min="4" max="4" width="34" hidden="0" customWidth="1"/>
    <x:col min="5" max="5" width="34" hidden="0" customWidth="1"/>
  </x:cols>
  <x:sheetData>
    <x:row r="1">
      <x:c r="A1" s="5" t="str">
        <x:v>地區</x:v>
      </x:c>
      <x:c r="B1" s="5" t="str">
        <x:v>固定監控來源</x:v>
      </x:c>
      <x:c r="C1" s="5" t="str">
        <x:v>網址</x:v>
      </x:c>
      <x:c r="D1" s="5" t="str">
        <x:v>重點偵測詞</x:v>
      </x:c>
      <x:c r="E1" s="5" t="str">
        <x:v>納入條件</x:v>
      </x:c>
    </x:row>
    <x:row r="2">
      <x:c r="A2" s="33" t="str">
        <x:v>台北／新北</x:v>
      </x:c>
      <x:c r="B2" s="33" t="str">
        <x:v>台北南港展覽館</x:v>
      </x:c>
      <x:c r="C2" s="33" t="str">
        <x:v>https://www.tainex.com.tw/</x:v>
      </x:c>
      <x:c r="D2" s="33" t="str">
        <x:v>教育、親子、書展、STEAM、兒童</x:v>
      </x:c>
      <x:c r="E2" s="33" t="str">
        <x:v>具參展、攤位、合作或大量目標受眾</x:v>
      </x:c>
    </x:row>
    <x:row r="3">
      <x:c r="A3" s="33" t="str">
        <x:v>台北／新北</x:v>
      </x:c>
      <x:c r="B3" s="33" t="str">
        <x:v>台北世界貿易中心</x:v>
      </x:c>
      <x:c r="C3" s="33" t="str">
        <x:v>https://www.twtc.com.tw/</x:v>
      </x:c>
      <x:c r="D3" s="33" t="str">
        <x:v>教育科技、書展、親子、文化 IP</x:v>
      </x:c>
      <x:c r="E3" s="33" t="str">
        <x:v>具參展、攤位、合作或大量目標受眾</x:v>
      </x:c>
    </x:row>
    <x:row r="4">
      <x:c r="A4" s="33" t="str">
        <x:v>台北／新北</x:v>
      </x:c>
      <x:c r="B4" s="33" t="str">
        <x:v>臺北市教育局／文化局</x:v>
      </x:c>
      <x:c r="C4" s="33" t="str">
        <x:v>https://www.doe.gov.taipei/</x:v>
      </x:c>
      <x:c r="D4" s="33" t="str">
        <x:v>教育節、閱讀節、兒童節、成果展</x:v>
      </x:c>
      <x:c r="E4" s="33" t="str">
        <x:v>具品牌合作、攤位或教師觸及</x:v>
      </x:c>
    </x:row>
    <x:row r="5">
      <x:c r="A5" s="33" t="str">
        <x:v>台北／新北</x:v>
      </x:c>
      <x:c r="B5" s="33" t="str">
        <x:v>新北市教育局／文化局</x:v>
      </x:c>
      <x:c r="C5" s="33" t="str">
        <x:v>https://www.ntpc.edu.tw/</x:v>
      </x:c>
      <x:c r="D5" s="33" t="str">
        <x:v>教育節、閱讀節、兒童節、科學節</x:v>
      </x:c>
      <x:c r="E5" s="33" t="str">
        <x:v>具品牌合作、攤位或教師觸及</x:v>
      </x:c>
    </x:row>
    <x:row r="6">
      <x:c r="A6" s="34" t="str">
        <x:v>新竹</x:v>
      </x:c>
      <x:c r="B6" s="34" t="str">
        <x:v>新竹市文化局／教育網</x:v>
      </x:c>
      <x:c r="C6" s="34" t="str">
        <x:v>https://culture.hccg.gov.tw/</x:v>
      </x:c>
      <x:c r="D6" s="34" t="str">
        <x:v>親子、閱讀、科學、創客、兒童</x:v>
      </x:c>
      <x:c r="E6" s="34" t="str">
        <x:v>具攤位、合作、贊助或家庭觸及</x:v>
      </x:c>
    </x:row>
    <x:row r="7">
      <x:c r="A7" s="34" t="str">
        <x:v>新竹</x:v>
      </x:c>
      <x:c r="B7" s="34" t="str">
        <x:v>新竹縣文化局／教育局</x:v>
      </x:c>
      <x:c r="C7" s="34" t="str">
        <x:v>https://www.hchcc.gov.tw/</x:v>
      </x:c>
      <x:c r="D7" s="34" t="str">
        <x:v>閱讀節、兒童節、STEAM、成果展</x:v>
      </x:c>
      <x:c r="E7" s="34" t="str">
        <x:v>具攤位、合作、贊助或家庭觸及</x:v>
      </x:c>
    </x:row>
    <x:row r="8">
      <x:c r="A8" s="35" t="str">
        <x:v>台中</x:v>
      </x:c>
      <x:c r="B8" s="35" t="str">
        <x:v>臺中國際會展中心</x:v>
      </x:c>
      <x:c r="C8" s="35" t="str">
        <x:v>https://www.ticec.com.tw/</x:v>
      </x:c>
      <x:c r="D8" s="35" t="str">
        <x:v>教育、親子、書展、科技、兒童</x:v>
      </x:c>
      <x:c r="E8" s="35" t="str">
        <x:v>具參展或大量目標受眾</x:v>
      </x:c>
    </x:row>
    <x:row r="9">
      <x:c r="A9" s="35" t="str">
        <x:v>台中</x:v>
      </x:c>
      <x:c r="B9" s="35" t="str">
        <x:v>臺中市文化局／圖書館</x:v>
      </x:c>
      <x:c r="C9" s="35" t="str">
        <x:v>https://www.library.taichung.gov.tw/</x:v>
      </x:c>
      <x:c r="D9" s="35" t="str">
        <x:v>閱讀節、書展、親子、兒童節</x:v>
      </x:c>
      <x:c r="E9" s="35" t="str">
        <x:v>具攤位、合作或閱讀推廣價值</x:v>
      </x:c>
    </x:row>
    <x:row r="10">
      <x:c r="A10" s="35" t="str">
        <x:v>台中</x:v>
      </x:c>
      <x:c r="B10" s="35" t="str">
        <x:v>臺中市教育局</x:v>
      </x:c>
      <x:c r="C10" s="35" t="str">
        <x:v>https://www.tc.edu.tw/</x:v>
      </x:c>
      <x:c r="D10" s="35" t="str">
        <x:v>教育博覽會、成果展、STEAM、創客</x:v>
      </x:c>
      <x:c r="E10" s="35" t="str">
        <x:v>具教師、學校或學生觸及</x:v>
      </x:c>
    </x:row>
    <x:row r="11">
      <x:c r="A11" s="36" t="str">
        <x:v>台南</x:v>
      </x:c>
      <x:c r="B11" s="36" t="str">
        <x:v>大臺南會展中心</x:v>
      </x:c>
      <x:c r="C11" s="36" t="str">
        <x:v>https://www.icctainan.com/</x:v>
      </x:c>
      <x:c r="D11" s="36" t="str">
        <x:v>教育、親子、書展、科技、兒童</x:v>
      </x:c>
      <x:c r="E11" s="36" t="str">
        <x:v>具參展或大量目標受眾</x:v>
      </x:c>
    </x:row>
    <x:row r="12">
      <x:c r="A12" s="36" t="str">
        <x:v>台南</x:v>
      </x:c>
      <x:c r="B12" s="36" t="str">
        <x:v>臺南市文化局／圖書館</x:v>
      </x:c>
      <x:c r="C12" s="36" t="str">
        <x:v>https://www.tnpl.tn.edu.tw/</x:v>
      </x:c>
      <x:c r="D12" s="36" t="str">
        <x:v>閱讀節、書展、親子、兒童節</x:v>
      </x:c>
      <x:c r="E12" s="36" t="str">
        <x:v>具攤位、合作或閱讀推廣價值</x:v>
      </x:c>
    </x:row>
    <x:row r="13">
      <x:c r="A13" s="36" t="str">
        <x:v>台南</x:v>
      </x:c>
      <x:c r="B13" s="36" t="str">
        <x:v>臺南市教育局</x:v>
      </x:c>
      <x:c r="C13" s="36" t="str">
        <x:v>https://www.tn.edu.tw/</x:v>
      </x:c>
      <x:c r="D13" s="36" t="str">
        <x:v>教育博覽會、成果展、STEAM、科學</x:v>
      </x:c>
      <x:c r="E13" s="36" t="str">
        <x:v>具教師、學校或學生觸及</x:v>
      </x:c>
    </x:row>
    <x:row r="14">
      <x:c r="A14" s="37" t="str">
        <x:v>高雄</x:v>
      </x:c>
      <x:c r="B14" s="37" t="str">
        <x:v>高雄展覽館</x:v>
      </x:c>
      <x:c r="C14" s="37" t="str">
        <x:v>https://www.kecc.com.tw/</x:v>
      </x:c>
      <x:c r="D14" s="37" t="str">
        <x:v>教育、親子、書展、科技、兒童</x:v>
      </x:c>
      <x:c r="E14" s="37" t="str">
        <x:v>具參展或大量目標受眾</x:v>
      </x:c>
    </x:row>
    <x:row r="15">
      <x:c r="A15" s="37" t="str">
        <x:v>高雄</x:v>
      </x:c>
      <x:c r="B15" s="37" t="str">
        <x:v>高雄市文化局／圖書館</x:v>
      </x:c>
      <x:c r="C15" s="37" t="str">
        <x:v>https://www.ksml.edu.tw/</x:v>
      </x:c>
      <x:c r="D15" s="37" t="str">
        <x:v>閱讀節、書展、親子、兒童節</x:v>
      </x:c>
      <x:c r="E15" s="37" t="str">
        <x:v>具攤位、合作或閱讀推廣價值</x:v>
      </x:c>
    </x:row>
    <x:row r="16">
      <x:c r="A16" s="37" t="str">
        <x:v>高雄</x:v>
      </x:c>
      <x:c r="B16" s="37" t="str">
        <x:v>高雄市教育局</x:v>
      </x:c>
      <x:c r="C16" s="37" t="str">
        <x:v>https://www.kh.edu.tw/</x:v>
      </x:c>
      <x:c r="D16" s="37" t="str">
        <x:v>教育博覽會、成果展、STEAM、科學</x:v>
      </x:c>
      <x:c r="E16" s="37" t="str">
        <x:v>具教師、學校或學生觸及</x:v>
      </x:c>
    </x:row>
    <x:row r="17">
      <x:c r="A17" s="30" t="str">
        <x:v>全台</x:v>
      </x:c>
      <x:c r="B17" s="30" t="str">
        <x:v>臺灣教育科技展</x:v>
      </x:c>
      <x:c r="C17" s="30" t="str">
        <x:v>https://www.edtech.tw/</x:v>
      </x:c>
      <x:c r="D17" s="30" t="str">
        <x:v>招商、參展、報名、展覽資訊、成果</x:v>
      </x:c>
      <x:c r="E17" s="30" t="str">
        <x:v>每次必查</x:v>
      </x:c>
    </x:row>
    <x:row r="18">
      <x:c r="A18" s="30" t="str">
        <x:v>全台</x:v>
      </x:c>
      <x:c r="B18" s="30" t="str">
        <x:v>台北國際書展</x:v>
      </x:c>
      <x:c r="C18" s="30" t="str">
        <x:v>https://www.tibe.org.tw/</x:v>
      </x:c>
      <x:c r="D18" s="30" t="str">
        <x:v>參展、報名、兒童館、出版</x:v>
      </x:c>
      <x:c r="E18" s="30" t="str">
        <x:v>每次必查</x:v>
      </x:c>
    </x:row>
    <x:row r="19">
      <x:c r="A19" s="30" t="str">
        <x:v>全台</x:v>
      </x:c>
      <x:c r="B19" s="30" t="str">
        <x:v>EDit 教育創新博覽會</x:v>
      </x:c>
      <x:c r="C19" s="30" t="str">
        <x:v>https://edittw.com/</x:v>
      </x:c>
      <x:c r="D19" s="30" t="str">
        <x:v>參展、教育科技、永續教育</x:v>
      </x:c>
      <x:c r="E19" s="30" t="str">
        <x:v>每次必查</x:v>
      </x:c>
    </x:row>
    <x:row r="20">
      <x:c r="A20" s="30" t="str">
        <x:v>全台</x:v>
      </x:c>
      <x:c r="B20" s="30" t="str">
        <x:v>臺灣文博會</x:v>
      </x:c>
      <x:c r="C20" s="30" t="str">
        <x:v>https://creativexpo.tw/</x:v>
      </x:c>
      <x:c r="D20" s="30" t="str">
        <x:v>參展、兒童 IP、授權、內容</x:v>
      </x:c>
      <x:c r="E20" s="30" t="str">
        <x:v>每次必查</x:v>
      </x:c>
    </x:row>
    <x:row r="21">
      <x:c r="A21" s="30" t="str">
        <x:v>全台</x:v>
      </x:c>
      <x:c r="B21" s="30" t="str">
        <x:v>台北國際童書展</x:v>
      </x:c>
      <x:c r="C21" s="30" t="str">
        <x:v>https://kidsbooks.kje-event.com.tw/</x:v>
      </x:c>
      <x:c r="D21" s="30" t="str">
        <x:v>童書展、兒童書展、參展品牌、合作</x:v>
      </x:c>
      <x:c r="E21" s="30" t="str">
        <x:v>每次必查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6" hidden="0" customWidth="1"/>
    <x:col min="3" max="3" width="37" hidden="0" customWidth="1"/>
    <x:col min="4" max="4" width="37" hidden="0" customWidth="1"/>
    <x:col min="5" max="5" width="37" hidden="0" customWidth="1"/>
  </x:cols>
  <x:sheetData>
    <x:row r="1">
      <x:c r="A1" s="43" t="str">
        <x:v>監控類型</x:v>
      </x:c>
      <x:c r="B1" s="43" t="str">
        <x:v>偵測關鍵字</x:v>
      </x:c>
      <x:c r="C1" s="43" t="str">
        <x:v>主要來源</x:v>
      </x:c>
      <x:c r="D1" s="43" t="str">
        <x:v>納入活動</x:v>
      </x:c>
      <x:c r="E1" s="43" t="str">
        <x:v>排除活動</x:v>
      </x:c>
    </x:row>
    <x:row r="2">
      <x:c r="A2" s="45" t="str">
        <x:v>實驗教育</x:v>
      </x:c>
      <x:c r="B2" s="45" t="str">
        <x:v>實驗教育、替代教育、非學校型態、自學、共學、森林學校、民主教育</x:v>
      </x:c>
      <x:c r="C2" s="45" t="str">
        <x:v>實驗教育中心、機構、共學團、教育社群</x:v>
      </x:c>
      <x:c r="D2" s="45" t="str">
        <x:v>論壇、成果展、嘉年華、招生與合作活動</x:v>
      </x:c>
      <x:c r="E2" s="45" t="str">
        <x:v>僅校內封閉活動</x:v>
      </x:c>
    </x:row>
    <x:row r="3">
      <x:c r="A3" s="45" t="str">
        <x:v>私立／國際學校</x:v>
      </x:c>
      <x:c r="B3" s="45" t="str">
        <x:v>私立學校、國際學校、雙語學校、選校、招生博覽會</x:v>
      </x:c>
      <x:c r="C3" s="45" t="str">
        <x:v>學校官網、家長媒體、飯店與會議場地</x:v>
      </x:c>
      <x:c r="D3" s="45" t="str">
        <x:v>選校展、招生展、家長說明會、品牌合作</x:v>
      </x:c>
      <x:c r="E3" s="45" t="str">
        <x:v>單校一般招生貼文且無合作價值</x:v>
      </x:c>
    </x:row>
    <x:row r="4">
      <x:c r="A4" s="45" t="str">
        <x:v>幼教／早教</x:v>
      </x:c>
      <x:c r="B4" s="45" t="str">
        <x:v>幼教、早教、學前、教保、3–6歲、幼兒學習</x:v>
      </x:c>
      <x:c r="C4" s="45" t="str">
        <x:v>幼教協會、親子媒體、教育品牌</x:v>
      </x:c>
      <x:c r="D4" s="45" t="str">
        <x:v>幼教展、教保論壇、親職與幼兒學習活動</x:v>
      </x:c>
      <x:c r="E4" s="45" t="str">
        <x:v>僅0–2歲照護或純商品促銷</x:v>
      </x:c>
    </x:row>
    <x:row r="5">
      <x:c r="A5" s="45" t="str">
        <x:v>特色教育</x:v>
      </x:c>
      <x:c r="B5" s="45" t="str">
        <x:v>蒙特梭利、華德福、瑞吉歐、探究式、PBL</x:v>
      </x:c>
      <x:c r="C5" s="45" t="str">
        <x:v>教育協會、師資培訓機構、學校</x:v>
      </x:c>
      <x:c r="D5" s="45" t="str">
        <x:v>論壇、教育節、成果展、師資活動</x:v>
      </x:c>
      <x:c r="E5" s="45" t="str">
        <x:v>僅付費單堂課程</x:v>
      </x:c>
    </x:row>
    <x:row r="6">
      <x:c r="A6" s="45" t="str">
        <x:v>補教／加盟</x:v>
      </x:c>
      <x:c r="B6" s="45" t="str">
        <x:v>補教、教育加盟、教育創業、教育品牌</x:v>
      </x:c>
      <x:c r="C6" s="45" t="str">
        <x:v>補教協會、加盟展、教育品牌</x:v>
      </x:c>
      <x:c r="D6" s="45" t="str">
        <x:v>加盟展、教育創業展、合作媒合</x:v>
      </x:c>
      <x:c r="E6" s="45" t="str">
        <x:v>與兒童教育無關的加盟項目</x:v>
      </x:c>
    </x:row>
    <x:row r="7">
      <x:c r="A7" s="45" t="str">
        <x:v>教育新創</x:v>
      </x:c>
      <x:c r="B7" s="45" t="str">
        <x:v>教育新創、EdTech、學習科技、AI教育</x:v>
      </x:c>
      <x:c r="C7" s="45" t="str">
        <x:v>新創社群、育成中心、科技展</x:v>
      </x:c>
      <x:c r="D7" s="45" t="str">
        <x:v>Demo Day、展覽、媒合與論壇</x:v>
      </x:c>
      <x:c r="E7" s="45" t="str">
        <x:v>純技術活動且無教育應用</x:v>
      </x:c>
    </x:row>
    <x:row r="8">
      <x:c r="A8" s="45" t="str">
        <x:v>親子教育</x:v>
      </x:c>
      <x:c r="B8" s="45" t="str">
        <x:v>親子、家庭教育、親職、兒童發展</x:v>
      </x:c>
      <x:c r="C8" s="45" t="str">
        <x:v>親子媒體、基金會、百貨、文化場館</x:v>
      </x:c>
      <x:c r="D8" s="45" t="str">
        <x:v>親子嘉年華、教育市集、講座聯展</x:v>
      </x:c>
      <x:c r="E8" s="45" t="str">
        <x:v>純娛樂表演</x:v>
      </x:c>
    </x:row>
    <x:row r="9">
      <x:c r="A9" s="45" t="str">
        <x:v>特殊教育</x:v>
      </x:c>
      <x:c r="B9" s="45" t="str">
        <x:v>特教、融合教育、早療、身心障礙教育</x:v>
      </x:c>
      <x:c r="C9" s="45" t="str">
        <x:v>基金會、協會、醫療與教育機構</x:v>
      </x:c>
      <x:c r="D9" s="45" t="str">
        <x:v>論壇、成果展、資源博覽會</x:v>
      </x:c>
      <x:c r="E9" s="45" t="str">
        <x:v>無公開參與或合作機會</x:v>
      </x:c>
    </x:row>
    <x:row r="10">
      <x:c r="A10" s="45" t="str">
        <x:v>探索平台</x:v>
      </x:c>
      <x:c r="B10" s="45" t="str">
        <x:v>教育、親子、實驗教育、幼教</x:v>
      </x:c>
      <x:c r="C10" s="45" t="str">
        <x:v>ACCUPASS、KKTIX、Eventbrite、官方社群</x:v>
      </x:c>
      <x:c r="D10" s="45" t="str">
        <x:v>用於發現活動，再回官方來源查證</x:v>
      </x:c>
      <x:c r="E10" s="45" t="str">
        <x:v>僅平台資訊且無法官方驗證</x:v>
      </x:c>
    </x:row>
    <x:row r="11">
      <x:c r="A11" s="45" t="str">
        <x:v>全台區域</x:v>
      </x:c>
      <x:c r="B11" s="45" t="str">
        <x:v>基隆至離島所有縣市名稱＋上述關鍵字</x:v>
      </x:c>
      <x:c r="C11" s="45" t="str">
        <x:v>地方政府、場館、私立機構與主辦商</x:v>
      </x:c>
      <x:c r="D11" s="45" t="str">
        <x:v>有攤位、參展、合作、贊助或有效受眾</x:v>
      </x:c>
      <x:c r="E11" s="45" t="str">
        <x:v>僅限台北的搜尋結果</x:v>
      </x:c>
    </x:row>
    <x:row r="12">
      <x:c r="A12" s="45" t="str">
        <x:v>同義詞</x:v>
      </x:c>
      <x:c r="B12" s="45" t="str">
        <x:v>展覽、博覽會、教育節、市集、嘉年華、論壇、成果展、說明會</x:v>
      </x:c>
      <x:c r="C12" s="45" t="str">
        <x:v>所有來源</x:v>
      </x:c>
      <x:c r="D12" s="45" t="str">
        <x:v>不同命名但性質相近的活動</x:v>
      </x:c>
      <x:c r="E12" s="45" t="str">
        <x:v>只搜尋「展覽」而漏掉其他名稱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26" hidden="0" customWidth="1"/>
    <x:col min="4" max="4" width="26" hidden="0" customWidth="1"/>
  </x:cols>
  <x:sheetData>
    <x:row r="1">
      <x:c r="A1" s="4" t="str">
        <x:v>提醒條件</x:v>
      </x:c>
      <x:c r="B1" s="4" t="str">
        <x:v>建議動作</x:v>
      </x:c>
      <x:c r="C1" s="4" t="str">
        <x:v>飛書提醒頻率</x:v>
      </x:c>
      <x:c r="D1" s="4" t="str">
        <x:v>負責角色</x:v>
      </x:c>
    </x:row>
    <x:row r="2">
      <x:c r="A2" s="30" t="str">
        <x:v>新展會首次公告</x:v>
      </x:c>
      <x:c r="B2" s="30" t="str">
        <x:v>確認產品與受眾是否匹配</x:v>
      </x:c>
      <x:c r="C2" s="30" t="str">
        <x:v>發現後立即通知</x:v>
      </x:c>
      <x:c r="D2" s="30" t="str">
        <x:v>行銷／業務</x:v>
      </x:c>
    </x:row>
    <x:row r="3">
      <x:c r="A3" s="30" t="str">
        <x:v>參展報名已開放</x:v>
      </x:c>
      <x:c r="B3" s="30" t="str">
        <x:v>索取參展簡章與報價</x:v>
      </x:c>
      <x:c r="C3" s="30" t="str">
        <x:v>立即通知</x:v>
      </x:c>
      <x:c r="D3" s="30" t="str">
        <x:v>行銷／業務</x:v>
      </x:c>
    </x:row>
    <x:row r="4">
      <x:c r="A4" s="30" t="str">
        <x:v>截止日前 30 天</x:v>
      </x:c>
      <x:c r="B4" s="30" t="str">
        <x:v>完成參展效益與預算評估</x:v>
      </x:c>
      <x:c r="C4" s="30" t="str">
        <x:v>每日檢查</x:v>
      </x:c>
      <x:c r="D4" s="30" t="str">
        <x:v>主管</x:v>
      </x:c>
    </x:row>
    <x:row r="5">
      <x:c r="A5" s="30" t="str">
        <x:v>截止日前 14 天</x:v>
      </x:c>
      <x:c r="B5" s="30" t="str">
        <x:v>確認攤位、活動與人力方案</x:v>
      </x:c>
      <x:c r="C5" s="30" t="str">
        <x:v>每日檢查</x:v>
      </x:c>
      <x:c r="D5" s="30" t="str">
        <x:v>專案負責人</x:v>
      </x:c>
    </x:row>
    <x:row r="6">
      <x:c r="A6" s="30" t="str">
        <x:v>截止日前 7 天</x:v>
      </x:c>
      <x:c r="B6" s="30" t="str">
        <x:v>提交申請並確認付款</x:v>
      </x:c>
      <x:c r="C6" s="30" t="str">
        <x:v>每日通知</x:v>
      </x:c>
      <x:c r="D6" s="30" t="str">
        <x:v>專案負責人</x:v>
      </x:c>
    </x:row>
    <x:row r="7">
      <x:c r="A7" s="30" t="str">
        <x:v>活動前 30 天</x:v>
      </x:c>
      <x:c r="B7" s="30" t="str">
        <x:v>準備物料、講座與名單蒐集方案</x:v>
      </x:c>
      <x:c r="C7" s="30" t="str">
        <x:v>每週通知</x:v>
      </x:c>
      <x:c r="D7" s="30" t="str">
        <x:v>行銷／營運</x:v>
      </x:c>
    </x:row>
    <x:row r="8">
      <x:c r="A8" s="30"/>
      <x:c r="B8" s="30"/>
      <x:c r="C8" s="30"/>
      <x:c r="D8" s="30"/>
    </x:row>
    <x:row r="9">
      <x:c r="A9" s="4" t="str">
        <x:v>面向分類</x:v>
      </x:c>
      <x:c r="B9" s="4" t="str">
        <x:v>適合產品／目的</x:v>
      </x:c>
      <x:c r="C9" s="4" t="str">
        <x:v>建議優先級</x:v>
      </x:c>
      <x:c r="D9" s="4" t="str">
        <x:v>備註</x:v>
      </x:c>
    </x:row>
    <x:row r="10">
      <x:c r="A10" s="30" t="str">
        <x:v>教育科技</x:v>
      </x:c>
      <x:c r="B10" s="30" t="str">
        <x:v>數位學習、AI、平台、教學工具</x:v>
      </x:c>
      <x:c r="C10" s="30" t="str">
        <x:v>高</x:v>
      </x:c>
      <x:c r="D10" s="30" t="str">
        <x:v>優先尋找教師與學校合作</x:v>
      </x:c>
    </x:row>
    <x:row r="11">
      <x:c r="A11" s="30" t="str">
        <x:v>童書與閱讀</x:v>
      </x:c>
      <x:c r="B11" s="30" t="str">
        <x:v>童書、繪本、閱讀內容</x:v>
      </x:c>
      <x:c r="C11" s="30" t="str">
        <x:v>高</x:v>
      </x:c>
      <x:c r="D11" s="30" t="str">
        <x:v>適合品牌曝光與出版合作</x:v>
      </x:c>
    </x:row>
    <x:row r="12">
      <x:c r="A12" s="30" t="str">
        <x:v>親子消費</x:v>
      </x:c>
      <x:c r="B12" s="30" t="str">
        <x:v>家庭體驗、教材、玩具教具</x:v>
      </x:c>
      <x:c r="C12" s="30" t="str">
        <x:v>高</x:v>
      </x:c>
      <x:c r="D12" s="30" t="str">
        <x:v>重視現場轉換與名單蒐集</x:v>
      </x:c>
    </x:row>
    <x:row r="13">
      <x:c r="A13" s="30" t="str">
        <x:v>文化 IP</x:v>
      </x:c>
      <x:c r="B13" s="30" t="str">
        <x:v>角色、故事、授權、內容延伸</x:v>
      </x:c>
      <x:c r="C13" s="30" t="str">
        <x:v>中</x:v>
      </x:c>
      <x:c r="D13" s="30" t="str">
        <x:v>適合建立跨品牌合作</x:v>
      </x:c>
    </x:row>
    <x:row r="14">
      <x:c r="A14" s="30" t="str">
        <x:v>創新科技</x:v>
      </x:c>
      <x:c r="B14" s="30" t="str">
        <x:v>STEAM、AI、硬體、專利教具</x:v>
      </x:c>
      <x:c r="C14" s="30" t="str">
        <x:v>中</x:v>
      </x:c>
      <x:c r="D14" s="30" t="str">
        <x:v>重視 B2B 與產學合作</x:v>
      </x:c>
    </x:row>
  </x:sheetData>
  <x:pageMargins left="0.7" right="0.7" top="0.75" bottom="0.75" header="0.3" footer="0.3"/>
</x:worksheet>
</file>